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D:\WORK\SVN_QA\QA\QA_Document(E)\002_테스트기술문서(TT)\000_테스트장비\"/>
    </mc:Choice>
  </mc:AlternateContent>
  <bookViews>
    <workbookView xWindow="4950" yWindow="2820" windowWidth="21600" windowHeight="11295" tabRatio="659" activeTab="1"/>
  </bookViews>
  <sheets>
    <sheet name="History" sheetId="20" r:id="rId1"/>
    <sheet name="게임덱스260325" sheetId="29" r:id="rId2"/>
    <sheet name="메타버스테스트랩(통합)AOS" sheetId="33" r:id="rId3"/>
    <sheet name="메타버스테스트랩(통합)iOS" sheetId="27" r:id="rId4"/>
    <sheet name="메타버스테스트랩(판교)AOS" sheetId="31" state="hidden" r:id="rId5"/>
    <sheet name="메타버스테스트랩(판교)iOS" sheetId="34" state="hidden" r:id="rId6"/>
    <sheet name="전체리스트_AOS_260317" sheetId="32" r:id="rId7"/>
    <sheet name="전체리스트_iOS_260317" sheetId="26" r:id="rId8"/>
  </sheets>
  <definedNames>
    <definedName name="_xlnm._FilterDatabase" localSheetId="1" hidden="1">게임덱스260325!$B$14:$S$176</definedName>
    <definedName name="_xlnm._FilterDatabase" localSheetId="2" hidden="1">'메타버스테스트랩(통합)AOS'!$B$6:$J$271</definedName>
    <definedName name="_xlnm._FilterDatabase" localSheetId="3" hidden="1">'메타버스테스트랩(통합)iOS'!$B$6:$J$54</definedName>
    <definedName name="_xlnm._FilterDatabase" localSheetId="4" hidden="1">'메타버스테스트랩(판교)AOS'!$B$6:$I$67</definedName>
    <definedName name="_xlnm._FilterDatabase" localSheetId="5" hidden="1">'메타버스테스트랩(판교)iOS'!$B$6:$I$31</definedName>
    <definedName name="_xlnm._FilterDatabase" localSheetId="6" hidden="1">전체리스트_AOS_260317!$B$4:$L$354</definedName>
    <definedName name="_xlnm._FilterDatabase" localSheetId="7" hidden="1">전체리스트_iOS_260317!$B$4:$L$139</definedName>
  </definedNames>
  <calcPr calcId="162913"/>
  <webPublishing allowPng="1" targetScreenSize="1024x768" dpi="120" codePage="94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" i="29" l="1"/>
  <c r="D12" i="29"/>
  <c r="E9" i="29"/>
  <c r="D9" i="29"/>
  <c r="E11" i="29"/>
  <c r="D11" i="29"/>
  <c r="E8" i="29"/>
  <c r="D8" i="29"/>
  <c r="E10" i="29"/>
  <c r="D10" i="29"/>
  <c r="E7" i="29"/>
  <c r="D7" i="29"/>
  <c r="B10" i="29" l="1"/>
  <c r="B7" i="29"/>
</calcChain>
</file>

<file path=xl/sharedStrings.xml><?xml version="1.0" encoding="utf-8"?>
<sst xmlns="http://schemas.openxmlformats.org/spreadsheetml/2006/main" count="11095" uniqueCount="2732">
  <si>
    <t>모바일 기기</t>
    <phoneticPr fontId="2" type="noConversion"/>
  </si>
  <si>
    <t>작성일</t>
  </si>
  <si>
    <t>작성자</t>
  </si>
  <si>
    <t>게임덱스 QA실</t>
    <phoneticPr fontId="2" type="noConversion"/>
  </si>
  <si>
    <t>1. 목적</t>
    <phoneticPr fontId="2" type="noConversion"/>
  </si>
  <si>
    <t xml:space="preserve">   기기 보유 상황에 대한 파악 및 변경 등의 이력 관리를 위함 </t>
    <phoneticPr fontId="2" type="noConversion"/>
  </si>
  <si>
    <t>변경기록</t>
  </si>
  <si>
    <t>버전</t>
  </si>
  <si>
    <t>변경 날짜</t>
  </si>
  <si>
    <t>검토자</t>
    <phoneticPr fontId="2" type="noConversion"/>
  </si>
  <si>
    <t>변경 내용</t>
  </si>
  <si>
    <t>#1</t>
  </si>
  <si>
    <t>강정아</t>
    <phoneticPr fontId="2" type="noConversion"/>
  </si>
  <si>
    <t>초기 문서 작성 / history 시트 추가 / 홍미노트7 업데이트</t>
    <phoneticPr fontId="2" type="noConversion"/>
  </si>
  <si>
    <t>#2</t>
    <phoneticPr fontId="2" type="noConversion"/>
  </si>
  <si>
    <t>이유린</t>
    <phoneticPr fontId="2" type="noConversion"/>
  </si>
  <si>
    <t>iOS 기기 정보 업데이트 (GD_i_001 ~ GD_i_017)</t>
    <phoneticPr fontId="2" type="noConversion"/>
  </si>
  <si>
    <t>#3</t>
    <phoneticPr fontId="2" type="noConversion"/>
  </si>
  <si>
    <t>윤지현</t>
    <phoneticPr fontId="2" type="noConversion"/>
  </si>
  <si>
    <t>AOS 기기 정보 업데이트 (GD_A_024 ~ GD_A_037)</t>
    <phoneticPr fontId="2" type="noConversion"/>
  </si>
  <si>
    <t>#4</t>
    <phoneticPr fontId="2" type="noConversion"/>
  </si>
  <si>
    <t>최인호</t>
    <phoneticPr fontId="2" type="noConversion"/>
  </si>
  <si>
    <t>AOS 기기 정보 업데이트 (GD_A_001 ~ GD_A_010)</t>
    <phoneticPr fontId="2" type="noConversion"/>
  </si>
  <si>
    <t>#5</t>
  </si>
  <si>
    <t>이복기</t>
    <phoneticPr fontId="2" type="noConversion"/>
  </si>
  <si>
    <t>AOS 기기 정보 업데이트 (GD_A_0011 ~ GD_A_023)</t>
    <phoneticPr fontId="2" type="noConversion"/>
  </si>
  <si>
    <t>#6</t>
  </si>
  <si>
    <t>OPPO R17 Pro, Pixel 3a 기기정보 추가</t>
    <phoneticPr fontId="2" type="noConversion"/>
  </si>
  <si>
    <t>#7</t>
  </si>
  <si>
    <t xml:space="preserve">GD_A_014 장기대여 기기 회수 </t>
    <phoneticPr fontId="2" type="noConversion"/>
  </si>
  <si>
    <t>#8</t>
  </si>
  <si>
    <t>Pixel, Pixel XL 모델 번호 수정</t>
    <phoneticPr fontId="2" type="noConversion"/>
  </si>
  <si>
    <t>#9</t>
  </si>
  <si>
    <t>Honor 9 Lite 기기 정보 추가</t>
    <phoneticPr fontId="2" type="noConversion"/>
  </si>
  <si>
    <t>#10</t>
  </si>
  <si>
    <t>Honor 10 기기 정보 추가</t>
    <phoneticPr fontId="2" type="noConversion"/>
  </si>
  <si>
    <t>#11</t>
  </si>
  <si>
    <t>Honor 8X 기기 정보 추가</t>
    <phoneticPr fontId="2" type="noConversion"/>
  </si>
  <si>
    <t>#12</t>
  </si>
  <si>
    <t>iPhone 6S (GD_i_009) 소프트웨어 버전 업그레이드 ver 10.2 -&gt; ver 13.3.1</t>
    <phoneticPr fontId="2" type="noConversion"/>
  </si>
  <si>
    <t>#13</t>
    <phoneticPr fontId="2" type="noConversion"/>
  </si>
  <si>
    <t>iOS 기기 정보 업데이트 (GD_i_018 추가, GD_i_017 버전 업데이트)</t>
    <phoneticPr fontId="2" type="noConversion"/>
  </si>
  <si>
    <t>#14</t>
    <phoneticPr fontId="2" type="noConversion"/>
  </si>
  <si>
    <t>장재원</t>
    <phoneticPr fontId="2" type="noConversion"/>
  </si>
  <si>
    <t xml:space="preserve">AOS 기기 추가 </t>
    <phoneticPr fontId="2" type="noConversion"/>
  </si>
  <si>
    <t>#15</t>
    <phoneticPr fontId="2" type="noConversion"/>
  </si>
  <si>
    <t xml:space="preserve">GD_A_047 ~GD_A_049 누락된 넘버링/제조사 추가 / 글로벌 언락폰 명시 </t>
    <phoneticPr fontId="2" type="noConversion"/>
  </si>
  <si>
    <t>#16</t>
    <phoneticPr fontId="2" type="noConversion"/>
  </si>
  <si>
    <t>GD_A_47 Galaxy Note 9 OS ver Update(Android 10)</t>
    <phoneticPr fontId="2" type="noConversion"/>
  </si>
  <si>
    <t>#17</t>
    <phoneticPr fontId="2" type="noConversion"/>
  </si>
  <si>
    <t>iOS 기기 최신 버전 업데이트 (GD_i_017 iPad Pro 11형(3세대))</t>
    <phoneticPr fontId="2" type="noConversion"/>
  </si>
  <si>
    <t>#18</t>
    <phoneticPr fontId="2" type="noConversion"/>
  </si>
  <si>
    <t>Galaxy S10 OS 정보 업데이트 (Android 10) / Black Shark 2 기기 정보 추가</t>
    <phoneticPr fontId="2" type="noConversion"/>
  </si>
  <si>
    <t>#19</t>
    <phoneticPr fontId="2" type="noConversion"/>
  </si>
  <si>
    <t>Pixel 3a / iPad(7세대) / iPad Pro 11형(3세대) OS 업데이트 내역 추가</t>
    <phoneticPr fontId="2" type="noConversion"/>
  </si>
  <si>
    <t>#20</t>
    <phoneticPr fontId="2" type="noConversion"/>
  </si>
  <si>
    <t>이은영</t>
    <phoneticPr fontId="2" type="noConversion"/>
  </si>
  <si>
    <t>G8 ThinQ OS 정보 업데이트 (Android 10)</t>
    <phoneticPr fontId="2" type="noConversion"/>
  </si>
  <si>
    <t>#21</t>
    <phoneticPr fontId="2" type="noConversion"/>
  </si>
  <si>
    <t>갤럭시 폴드/플립 정보 추가 (A_51/A_52) , G4 폐기 현황 추가</t>
    <phoneticPr fontId="2" type="noConversion"/>
  </si>
  <si>
    <t>#22</t>
    <phoneticPr fontId="2" type="noConversion"/>
  </si>
  <si>
    <t>iPad(7세대) OS 정보 업데이트 (iPadOS 13.6)</t>
    <phoneticPr fontId="2" type="noConversion"/>
  </si>
  <si>
    <t>#23</t>
    <phoneticPr fontId="2" type="noConversion"/>
  </si>
  <si>
    <t>iPad Pro 9.7형(1세대) (GD_i_014) OS 업데이트 ver 11.4.1 -&gt; ver 13.6</t>
    <phoneticPr fontId="2" type="noConversion"/>
  </si>
  <si>
    <t>#24</t>
  </si>
  <si>
    <t>iPad Pro 11형(3세대) (MTxN2KH/A) ver. 13.5.1 -&gt; 13.6</t>
    <phoneticPr fontId="2" type="noConversion"/>
  </si>
  <si>
    <t>#25</t>
    <phoneticPr fontId="2" type="noConversion"/>
  </si>
  <si>
    <t>iPad Pro 11형(3세대) (MTxN2KH/A) ver. 13.6 -&gt; 13.6.1</t>
    <phoneticPr fontId="2" type="noConversion"/>
  </si>
  <si>
    <t>#26</t>
    <phoneticPr fontId="2" type="noConversion"/>
  </si>
  <si>
    <t>iPad(7세대) OS 정보 업데이트 (iPadOS 13.6.1)</t>
    <phoneticPr fontId="2" type="noConversion"/>
  </si>
  <si>
    <t>#27</t>
    <phoneticPr fontId="2" type="noConversion"/>
  </si>
  <si>
    <t>iPad Pro 11형(3세대) / iPhone 6s / iPad 7세대 OS 정보 업데이트 (14.0.1)</t>
    <phoneticPr fontId="2" type="noConversion"/>
  </si>
  <si>
    <t>#28</t>
    <phoneticPr fontId="2" type="noConversion"/>
  </si>
  <si>
    <t>iPad Pro 11형(3세대) OS 정보 업데이트 (14.1)</t>
    <phoneticPr fontId="2" type="noConversion"/>
  </si>
  <si>
    <t>#29</t>
    <phoneticPr fontId="2" type="noConversion"/>
  </si>
  <si>
    <t>AOS, iOS 기기 정보 추가 (GD_A_53, GD_i_019 ~ GD_i_022)</t>
    <phoneticPr fontId="2" type="noConversion"/>
  </si>
  <si>
    <t>#30</t>
    <phoneticPr fontId="2" type="noConversion"/>
  </si>
  <si>
    <t>iPad Pro 11형(3세대), iPad(7세대) OS 정보 업데이트 (14.2)</t>
    <phoneticPr fontId="2" type="noConversion"/>
  </si>
  <si>
    <t>#31</t>
    <phoneticPr fontId="2" type="noConversion"/>
  </si>
  <si>
    <t>iad 7세대 OS 정보 업데이트 (14.3)</t>
    <phoneticPr fontId="2" type="noConversion"/>
  </si>
  <si>
    <t>#32</t>
    <phoneticPr fontId="2" type="noConversion"/>
  </si>
  <si>
    <t>iPad Pro 11형(3세대) ver. 14.2 -&gt; 14.3</t>
    <phoneticPr fontId="2" type="noConversion"/>
  </si>
  <si>
    <t>#33</t>
    <phoneticPr fontId="2" type="noConversion"/>
  </si>
  <si>
    <t>Galaxy S7 Edge OS 정보 업데이트 Ver. 7.0 -&gt; 8.0</t>
    <phoneticPr fontId="2" type="noConversion"/>
  </si>
  <si>
    <t>#34</t>
    <phoneticPr fontId="2" type="noConversion"/>
  </si>
  <si>
    <t>디지털 콘텐츠 기업성장지원센터 기기 추가</t>
    <phoneticPr fontId="2" type="noConversion"/>
  </si>
  <si>
    <t>#35</t>
    <phoneticPr fontId="2" type="noConversion"/>
  </si>
  <si>
    <t>Honor 10 (COL-L29) OS 정보 업데이트 8.1.0 -&gt; 9</t>
    <phoneticPr fontId="2" type="noConversion"/>
  </si>
  <si>
    <t>#36</t>
    <phoneticPr fontId="2" type="noConversion"/>
  </si>
  <si>
    <t>iPad Pro 11형(3세대) OS 정보 업데이트 (14.4.1)</t>
    <phoneticPr fontId="2" type="noConversion"/>
  </si>
  <si>
    <t>#37</t>
    <phoneticPr fontId="2" type="noConversion"/>
  </si>
  <si>
    <t>iPad(7세대) OS 정보 업데이트 (14.4.1)</t>
    <phoneticPr fontId="2" type="noConversion"/>
  </si>
  <si>
    <t>#38</t>
    <phoneticPr fontId="2" type="noConversion"/>
  </si>
  <si>
    <t>Pixel 3a 버전 정보 변경</t>
    <phoneticPr fontId="2" type="noConversion"/>
  </si>
  <si>
    <t>#39</t>
    <phoneticPr fontId="2" type="noConversion"/>
  </si>
  <si>
    <t>## 기기 추가 (A-54 ~ A-59, i_24 ~ i_30) ## / 문서 일부 변경</t>
    <phoneticPr fontId="2" type="noConversion"/>
  </si>
  <si>
    <t>#40</t>
    <phoneticPr fontId="2" type="noConversion"/>
  </si>
  <si>
    <t>iPhone 6S(MKQR2KH/A) OS 정보 업데이트 14.0.1 -&gt; 14.5.1</t>
    <phoneticPr fontId="2" type="noConversion"/>
  </si>
  <si>
    <t>#41</t>
    <phoneticPr fontId="2" type="noConversion"/>
  </si>
  <si>
    <t>iPad 7세대 OS 정보 업데이트 / 14.3 &gt; 14.5</t>
    <phoneticPr fontId="2" type="noConversion"/>
  </si>
  <si>
    <t>#42</t>
  </si>
  <si>
    <t>기기정보 추가(GD_A_54 ~ GD_A_73)</t>
    <phoneticPr fontId="2" type="noConversion"/>
  </si>
  <si>
    <t>#43</t>
    <phoneticPr fontId="2" type="noConversion"/>
  </si>
  <si>
    <t>iPad Pro 12.9 (1세대) 누락된 정보 추가 / GD_i_24 ~ GD_i_30 기기 정보 추가(일부 기기의 OS 정보는 대여중으로 추후 확인이 필요하며, 등록일 알수 없음)</t>
    <phoneticPr fontId="2" type="noConversion"/>
  </si>
  <si>
    <t>#44</t>
    <phoneticPr fontId="2" type="noConversion"/>
  </si>
  <si>
    <t xml:space="preserve">누락된 OS 추가 / IOS 최신 유지 기기 변경 </t>
    <phoneticPr fontId="2" type="noConversion"/>
  </si>
  <si>
    <t>#45</t>
    <phoneticPr fontId="2" type="noConversion"/>
  </si>
  <si>
    <t>GD_i_017 iPad Pro 11형(3세대) (MTxN2KH/A) OS 정보 업데이트 14.6 -&gt; 14.7</t>
    <phoneticPr fontId="2" type="noConversion"/>
  </si>
  <si>
    <t>#46</t>
    <phoneticPr fontId="2" type="noConversion"/>
  </si>
  <si>
    <t xml:space="preserve">GD_i_017 iPad Pro 11형(3세대) OS 정보 업데이트 14.7 -&gt; 14.7.1 </t>
    <phoneticPr fontId="2" type="noConversion"/>
  </si>
  <si>
    <t>#47</t>
    <phoneticPr fontId="2" type="noConversion"/>
  </si>
  <si>
    <t>GD_A043 A90 5G OS 업데이트 10 -&gt; 11</t>
    <phoneticPr fontId="2" type="noConversion"/>
  </si>
  <si>
    <t>#48</t>
    <phoneticPr fontId="2" type="noConversion"/>
  </si>
  <si>
    <t>GD_A_039 Pixel 3a OS 업데이트 11 -&gt; 12(Beta)</t>
    <phoneticPr fontId="2" type="noConversion"/>
  </si>
  <si>
    <t>#49</t>
    <phoneticPr fontId="2" type="noConversion"/>
  </si>
  <si>
    <t>GD_i_027 iPhone X OS 업데이트 14.1 -&gt; 15.0(Beta)</t>
    <phoneticPr fontId="2" type="noConversion"/>
  </si>
  <si>
    <t>#50</t>
    <phoneticPr fontId="2" type="noConversion"/>
  </si>
  <si>
    <t>GD-i-025 iPhone XR OS 업데이트 14.6 -&gt; 15</t>
    <phoneticPr fontId="2" type="noConversion"/>
  </si>
  <si>
    <t>#51</t>
    <phoneticPr fontId="2" type="noConversion"/>
  </si>
  <si>
    <t>GD-i-017 iPad pro3(11형) 업데이트 14.8 -&gt; 15</t>
    <phoneticPr fontId="2" type="noConversion"/>
  </si>
  <si>
    <t>#52</t>
    <phoneticPr fontId="2" type="noConversion"/>
  </si>
  <si>
    <t>GD-i-025 iPhone XR OS 업데이트 15 -&gt; 15.1</t>
    <phoneticPr fontId="2" type="noConversion"/>
  </si>
  <si>
    <t>#53</t>
    <phoneticPr fontId="2" type="noConversion"/>
  </si>
  <si>
    <t>채승</t>
    <phoneticPr fontId="2" type="noConversion"/>
  </si>
  <si>
    <t>GD_i_018 iPad 7 OS 업데이트 14 &gt; 15.1</t>
    <phoneticPr fontId="2" type="noConversion"/>
  </si>
  <si>
    <t>#54</t>
    <phoneticPr fontId="2" type="noConversion"/>
  </si>
  <si>
    <t>오승원</t>
    <phoneticPr fontId="2" type="noConversion"/>
  </si>
  <si>
    <t>GD-i-017 iPad pro3(11형) 업데이트 15.0.2 -&gt; 15.2</t>
    <phoneticPr fontId="2" type="noConversion"/>
  </si>
  <si>
    <t>#55</t>
    <phoneticPr fontId="2" type="noConversion"/>
  </si>
  <si>
    <t>GD_A_56 VELVET 업데이트 10.0 -&gt; 11.0 (새벽 자동 업데이트됨)</t>
    <phoneticPr fontId="2" type="noConversion"/>
  </si>
  <si>
    <t>#56</t>
    <phoneticPr fontId="2" type="noConversion"/>
  </si>
  <si>
    <t>이상윤</t>
    <phoneticPr fontId="2" type="noConversion"/>
  </si>
  <si>
    <t>GD_i_018 iPad 7 OS 업데이트 15.1 -&gt; 15.3.1</t>
    <phoneticPr fontId="2" type="noConversion"/>
  </si>
  <si>
    <t>#57</t>
    <phoneticPr fontId="2" type="noConversion"/>
  </si>
  <si>
    <t>GD_i_017 iPad pro3(11형) 업데이트 15.3.1 -&gt; 15.4</t>
    <phoneticPr fontId="2" type="noConversion"/>
  </si>
  <si>
    <t>#58</t>
    <phoneticPr fontId="2" type="noConversion"/>
  </si>
  <si>
    <t>GD_i_018 iPad 7 OS 업데이트 15.3.1 -&gt; 15.4.1</t>
    <phoneticPr fontId="2" type="noConversion"/>
  </si>
  <si>
    <t>#59</t>
    <phoneticPr fontId="2" type="noConversion"/>
  </si>
  <si>
    <t>GD_i_025 iPhone XR OS 업데이트 15.1 -&gt; 15.5</t>
    <phoneticPr fontId="2" type="noConversion"/>
  </si>
  <si>
    <t>#60</t>
    <phoneticPr fontId="2" type="noConversion"/>
  </si>
  <si>
    <t>정해권</t>
    <phoneticPr fontId="2" type="noConversion"/>
  </si>
  <si>
    <t>GD_i_017 iPad pro3(11형) 업데이트 15.4.1 &gt; 15.5</t>
    <phoneticPr fontId="2" type="noConversion"/>
  </si>
  <si>
    <t>#61</t>
    <phoneticPr fontId="2" type="noConversion"/>
  </si>
  <si>
    <t>GD_A_59 Galaxy 20 FE OS 업데이트 11.0 -&gt; 12.0</t>
    <phoneticPr fontId="2" type="noConversion"/>
  </si>
  <si>
    <t>#62</t>
    <phoneticPr fontId="2" type="noConversion"/>
  </si>
  <si>
    <t>iOS 기기 UDID 정보 추가 및 OS 정보 업데이트 
(GD_i_007 12.3.1 -&gt; 12.5.5 / GD_i_017 15.4 -&gt; 15.6 / GD_i_025 15.1 -&gt; 15.5 / GD_i_027 15 -&gt; 15.6 / GD_i_028 14.4.1 -&gt;  15.6</t>
    <phoneticPr fontId="2" type="noConversion"/>
  </si>
  <si>
    <t>#63</t>
    <phoneticPr fontId="2" type="noConversion"/>
  </si>
  <si>
    <t>GD_A_58 Galaxy S10e OS 업데이트 10.0 -&gt; 11.0</t>
    <phoneticPr fontId="2" type="noConversion"/>
  </si>
  <si>
    <t>#64</t>
    <phoneticPr fontId="2" type="noConversion"/>
  </si>
  <si>
    <t>GD_i_017 iPad pro3(11형) 업데이트 15.6 &gt; 15.7</t>
    <phoneticPr fontId="2" type="noConversion"/>
  </si>
  <si>
    <t>#65</t>
    <phoneticPr fontId="2" type="noConversion"/>
  </si>
  <si>
    <t>GD_i_025 iPhone XR 업데이트 15.5 &gt; 16.0.2</t>
    <phoneticPr fontId="2" type="noConversion"/>
  </si>
  <si>
    <t>#66</t>
    <phoneticPr fontId="2" type="noConversion"/>
  </si>
  <si>
    <t>디바이스 정보 최신화
  ㄴ 기존 게임덱스 보유기기 탭 숨김처리
  ㄴ 디지털콘텐츠기업성장지원센터 정보 갱신
  ㄴ 성남모바일앱센터 폐쇄로 탭 숨김처리
  ㄴ 전체리스트 갱신</t>
    <phoneticPr fontId="2" type="noConversion"/>
  </si>
  <si>
    <t>#67</t>
    <phoneticPr fontId="2" type="noConversion"/>
  </si>
  <si>
    <t>안양 판교 시트 분리
폰/태블릿 이외의 디바이스 정보 삭제
성남 모바일 앱센터 운영 폐쇄로 탭 삭제(숨김처리)
전체 리스트 갱신(폰/태블릿 이외의 디바이스 삭제 처리)
게임덱스 탭 내의 아이패드 프로 3세대 11형 정보 수정</t>
    <phoneticPr fontId="2" type="noConversion"/>
  </si>
  <si>
    <t>#68</t>
    <phoneticPr fontId="2" type="noConversion"/>
  </si>
  <si>
    <t>수리 필요한 디바이스 정리
 ㄴ '게임덱스2210118' 탭에서 상태 변경으로 확인 가능</t>
    <phoneticPr fontId="2" type="noConversion"/>
  </si>
  <si>
    <t>#69</t>
    <phoneticPr fontId="2" type="noConversion"/>
  </si>
  <si>
    <t>LINE 앱 설치 유지 디바이스 정리</t>
    <phoneticPr fontId="2" type="noConversion"/>
  </si>
  <si>
    <t>#70</t>
  </si>
  <si>
    <t>GD_i_025 iPhone XR 업데이트 16.0.2 &gt; 16.1</t>
    <phoneticPr fontId="2" type="noConversion"/>
  </si>
  <si>
    <t>#71</t>
  </si>
  <si>
    <t>최인호</t>
  </si>
  <si>
    <t>AOS 12대, iOS 4대 기종 추가</t>
  </si>
  <si>
    <t>#72</t>
  </si>
  <si>
    <t>Pixel 6a, 샤오미 12Lite 디바이스 추가</t>
    <phoneticPr fontId="2" type="noConversion"/>
  </si>
  <si>
    <t>#73</t>
  </si>
  <si>
    <t>LINE 스튜디오에서 디바이스 3대 장기 대여 받아 목록 갱신
AC02298009 / AC02349166 / AC02349167</t>
    <phoneticPr fontId="2" type="noConversion"/>
  </si>
  <si>
    <t>#74</t>
  </si>
  <si>
    <t>Xperia Ace II 입고</t>
    <phoneticPr fontId="2" type="noConversion"/>
  </si>
  <si>
    <t>#75</t>
  </si>
  <si>
    <t>GD_i_017 iPad Pro3(11형) OS 정보 업데이트 15.7 &gt; 16.1.1</t>
    <phoneticPr fontId="2" type="noConversion"/>
  </si>
  <si>
    <t>#76</t>
    <phoneticPr fontId="2" type="noConversion"/>
  </si>
  <si>
    <t>허창대</t>
    <phoneticPr fontId="2" type="noConversion"/>
  </si>
  <si>
    <t>GD_i_008 iPad Air 2 OS 정보 업데이트 12.2 &gt; 15.7.1</t>
    <phoneticPr fontId="2" type="noConversion"/>
  </si>
  <si>
    <t>#77</t>
    <phoneticPr fontId="2" type="noConversion"/>
  </si>
  <si>
    <t>GD_A_014 Galaxy S7 (장기대여 : 글로벌서비스2팀 (하진 팀장))</t>
    <phoneticPr fontId="2" type="noConversion"/>
  </si>
  <si>
    <t>#78</t>
    <phoneticPr fontId="2" type="noConversion"/>
  </si>
  <si>
    <t>윤진선</t>
    <phoneticPr fontId="2" type="noConversion"/>
  </si>
  <si>
    <t>GD_i_017 iPad Pro3(11형) OS 정보 업데이트 16.3 &gt; 16.3.1</t>
    <phoneticPr fontId="2" type="noConversion"/>
  </si>
  <si>
    <t>#79</t>
    <phoneticPr fontId="2" type="noConversion"/>
  </si>
  <si>
    <t>내부 디바이스 OS 정보 업데이트
 - GD_A_030 Galaxy S9 OS 수정 (10 &gt; 9)
 - GD_A_64 Pixel 4a OS 수정 (12 &gt; 13)
 - GD_i_025 iPhone XR OS 수정 (16.2 &gt; 16.3.1)</t>
    <phoneticPr fontId="2" type="noConversion"/>
  </si>
  <si>
    <t>#80</t>
  </si>
  <si>
    <t>정해권</t>
  </si>
  <si>
    <t>GD_i_017 iPad Pro 11형 OS 정보 업데이트 (OS 16.3.1 -&gt; 16.4)</t>
    <phoneticPr fontId="2" type="noConversion"/>
  </si>
  <si>
    <t>#81</t>
    <phoneticPr fontId="2" type="noConversion"/>
  </si>
  <si>
    <t>마정아</t>
    <phoneticPr fontId="2" type="noConversion"/>
  </si>
  <si>
    <t>GD_A_054 V50 디바이스 고장으로 상태 및 비고란 작성</t>
    <phoneticPr fontId="2" type="noConversion"/>
  </si>
  <si>
    <t>#82</t>
  </si>
  <si>
    <t>GD_i_025 iPhone XR OS 정보 업데이트 (OS 16.3.1 -&gt; 16.4.1)</t>
    <phoneticPr fontId="2" type="noConversion"/>
  </si>
  <si>
    <t>#83</t>
  </si>
  <si>
    <t>GD_i_017 iPad Pro 11형 OS 정보 업데이트 (OS 16.4 -&gt; 16.4.1)</t>
    <phoneticPr fontId="2" type="noConversion"/>
  </si>
  <si>
    <t>#84</t>
  </si>
  <si>
    <t>오승원</t>
  </si>
  <si>
    <t>GD_i_018 iPad 7 OS 정보 업데이트 (OS 15.4.1 -&gt; 16.4.1)</t>
  </si>
  <si>
    <t>#85</t>
  </si>
  <si>
    <t>유경근</t>
  </si>
  <si>
    <t>GD_i_018 iPad 7 OS 정보 업데이트 (OS 16.4.1 -&gt; 16.4.1(a))</t>
    <phoneticPr fontId="2" type="noConversion"/>
  </si>
  <si>
    <t>#86</t>
  </si>
  <si>
    <t>채승</t>
  </si>
  <si>
    <t>디바이스 정보 최신화
  ㄴ 디지털콘텐츠기업성장지원센터 정보 갱신
  ㄴ 전체리스트 갱신</t>
    <phoneticPr fontId="2" type="noConversion"/>
  </si>
  <si>
    <t>#87</t>
    <phoneticPr fontId="2" type="noConversion"/>
  </si>
  <si>
    <t>윤진선</t>
  </si>
  <si>
    <t>GD_i_018 iPad 7 OS 정보 업데이트 (OS 16.4.1(a) -&gt; 16.5)</t>
  </si>
  <si>
    <t>#88</t>
  </si>
  <si>
    <t>&lt;배터리 부품 문제로 단말 상태 변경 (정상 → 수리)&gt;
GD_A_016 G5 
GD_A_037 Redmi Note 7</t>
  </si>
  <si>
    <t>#89</t>
    <phoneticPr fontId="2" type="noConversion"/>
  </si>
  <si>
    <t>전체 리스트 AOS/iOS 분리</t>
    <phoneticPr fontId="2" type="noConversion"/>
  </si>
  <si>
    <t>#90</t>
    <phoneticPr fontId="2" type="noConversion"/>
  </si>
  <si>
    <t>GD_A_80 Pixel 6a OS 정보 업데이트 (OS 12.0 -&gt; 13.0)</t>
    <phoneticPr fontId="2" type="noConversion"/>
  </si>
  <si>
    <t>#91</t>
    <phoneticPr fontId="2" type="noConversion"/>
  </si>
  <si>
    <t>GD_i_028 iPhone SE2 OS 업데이트 (15.6 -&gt; 16.5.1)</t>
    <phoneticPr fontId="2" type="noConversion"/>
  </si>
  <si>
    <t>#92</t>
    <phoneticPr fontId="2" type="noConversion"/>
  </si>
  <si>
    <t>GD_i_017 iPad Pro 11형(3세대) OS 정보 업데이트 (실제 OS 변경 16.5.1 -&gt; 16.6 / 문서 내 변경 16.4 -&gt; 16.6)
GD_i_018 iPad 7(7세대) OS 정보 업데이트 ( 16.5 -&gt; 16.6)</t>
    <phoneticPr fontId="2" type="noConversion"/>
  </si>
  <si>
    <t>#93</t>
    <phoneticPr fontId="2" type="noConversion"/>
  </si>
  <si>
    <t>GD_i_028 iPhone SE2 OS 업데이트 (16.5.1 -&gt; 16.6)</t>
    <phoneticPr fontId="2" type="noConversion"/>
  </si>
  <si>
    <t>#94</t>
    <phoneticPr fontId="2" type="noConversion"/>
  </si>
  <si>
    <t>GD_A_53 Galaxy Tab S6 디바이스 고장으로 (정상 -&gt; 수리) 상태 변경</t>
    <phoneticPr fontId="2" type="noConversion"/>
  </si>
  <si>
    <t>#95</t>
    <phoneticPr fontId="2" type="noConversion"/>
  </si>
  <si>
    <t>GD_A_31 Galaxy Tab S3 디바이스 고장으로 (정상 -&gt; 수리) 상태 변경</t>
    <phoneticPr fontId="2" type="noConversion"/>
  </si>
  <si>
    <t>#96</t>
    <phoneticPr fontId="2" type="noConversion"/>
  </si>
  <si>
    <t>유경근</t>
    <phoneticPr fontId="2" type="noConversion"/>
  </si>
  <si>
    <t>GD_i_025 iPhone XR OS 정보 업데이트 (실제 OS 변경 16.6 -&gt; 17.0 / 문서 내 변경 16.4.1 -&gt; 17.0)</t>
    <phoneticPr fontId="2" type="noConversion"/>
  </si>
  <si>
    <t>#97</t>
    <phoneticPr fontId="2" type="noConversion"/>
  </si>
  <si>
    <t>GD_A_080 Pixel 6a OS 정보 업데이트 (OS 13 -&gt; OS 14 (beta))</t>
    <phoneticPr fontId="2" type="noConversion"/>
  </si>
  <si>
    <t>#98</t>
    <phoneticPr fontId="2" type="noConversion"/>
  </si>
  <si>
    <t>폐기로 상태 변경 : GD_i_023 iPad Pro 1st / GD_A_031 Galaxy Tab S3 / GD_A_053 Galaxy Tab S6
전체 리스트에서 폐기 디바이스 삭제</t>
    <phoneticPr fontId="2" type="noConversion"/>
  </si>
  <si>
    <t>#99</t>
    <phoneticPr fontId="2" type="noConversion"/>
  </si>
  <si>
    <t>GD_A_017 / GD_A_033 / GD_A_037 / GD_A_021 폐기처리</t>
    <phoneticPr fontId="2" type="noConversion"/>
  </si>
  <si>
    <t>#100</t>
    <phoneticPr fontId="2" type="noConversion"/>
  </si>
  <si>
    <t>GD_i_028 iPhone SE2 OS 정보 업데이트 (OS 16.6 -&gt; OS 16.6.1)</t>
    <phoneticPr fontId="2" type="noConversion"/>
  </si>
  <si>
    <t>#101</t>
    <phoneticPr fontId="2" type="noConversion"/>
  </si>
  <si>
    <t>GD_i_018 iPad 7 OS 정보 업데이트 (OS 16.6 -&gt; 16.6.1)</t>
    <phoneticPr fontId="2" type="noConversion"/>
  </si>
  <si>
    <t>#102</t>
    <phoneticPr fontId="2" type="noConversion"/>
  </si>
  <si>
    <t>GD_A_019 Pixel / GD_A_020 Pixel XL / GD_A_042 Honor 8X / GD_A_044 Razer 2 / GD_A_050 Black Shark 2 수리 완료</t>
    <phoneticPr fontId="2" type="noConversion"/>
  </si>
  <si>
    <t>#103</t>
    <phoneticPr fontId="2" type="noConversion"/>
  </si>
  <si>
    <t>GD_A_89 Pixel 7 디바이스 추가 / GD_A_62 POCOPHONE X3 배터리 부풀어 (정상 -&gt; 수리) 상태 변경</t>
    <phoneticPr fontId="2" type="noConversion"/>
  </si>
  <si>
    <t>#104</t>
  </si>
  <si>
    <t>디바이스 추가 (GD_A_90 / GD_A_91 / GD_i_035 / GD_i_036 / GD_i_037 / GD_i_038 / GD_i_039)</t>
    <phoneticPr fontId="2" type="noConversion"/>
  </si>
  <si>
    <t>#105</t>
    <phoneticPr fontId="2" type="noConversion"/>
  </si>
  <si>
    <t>GD_i_025 iPhone XR OS 정보 업데이트 (OS 17 -&gt; 17.0.3)</t>
    <phoneticPr fontId="2" type="noConversion"/>
  </si>
  <si>
    <t>#106</t>
    <phoneticPr fontId="2" type="noConversion"/>
  </si>
  <si>
    <t>GD_i_025 iPhone XR OS 정보 업데이트 (OS 17.0.3 -&gt; 17.1)</t>
    <phoneticPr fontId="2" type="noConversion"/>
  </si>
  <si>
    <t>#107</t>
    <phoneticPr fontId="2" type="noConversion"/>
  </si>
  <si>
    <t>GD_i_017 iPad Pro 3세대 OS 정보 업데이트 (OS 17.0.3 -&gt; 17.1 업데이트)</t>
    <phoneticPr fontId="2" type="noConversion"/>
  </si>
  <si>
    <t>#108</t>
    <phoneticPr fontId="2" type="noConversion"/>
  </si>
  <si>
    <t>GD_i_018 iPad(7세대) OS 최신으로 유지 디바이스에서 제외</t>
    <phoneticPr fontId="2" type="noConversion"/>
  </si>
  <si>
    <t>#109</t>
    <phoneticPr fontId="2" type="noConversion"/>
  </si>
  <si>
    <t>GD_i_017 iPad Pro 3세대 OS 정보 업데이트 (OS 17.1 -&gt; 17.1.1 업데이트)</t>
    <phoneticPr fontId="2" type="noConversion"/>
  </si>
  <si>
    <t>#110</t>
    <phoneticPr fontId="2" type="noConversion"/>
  </si>
  <si>
    <t>GD_i_037 iPhone 12 mini 누락된 OS 정보 추가</t>
    <phoneticPr fontId="2" type="noConversion"/>
  </si>
  <si>
    <t>#111</t>
    <phoneticPr fontId="2" type="noConversion"/>
  </si>
  <si>
    <t>GD_i_017 iPad Pro 3세대 OS 정보 업데이트 (OS 17.1.1 -&gt; 17.1.2 업데이트)</t>
    <phoneticPr fontId="2" type="noConversion"/>
  </si>
  <si>
    <t>#112</t>
    <phoneticPr fontId="2" type="noConversion"/>
  </si>
  <si>
    <t>GD_i_025 iPhone XR OS 정보 업데이트 (OS 17.1.2 -&gt; 17.2)</t>
    <phoneticPr fontId="2" type="noConversion"/>
  </si>
  <si>
    <t>#113</t>
    <phoneticPr fontId="2" type="noConversion"/>
  </si>
  <si>
    <t>GD_i_017 iPad Pro 3세대 OS 정보 업데이트 (OS 17.1.2 -&gt; 17.2 업데이트)</t>
    <phoneticPr fontId="2" type="noConversion"/>
  </si>
  <si>
    <t>#114</t>
    <phoneticPr fontId="2" type="noConversion"/>
  </si>
  <si>
    <t>GD_i_025 iPhone XR OS 정보 업데이트 (OS 17.2 -&gt; 17.2.1 업데이트)</t>
    <phoneticPr fontId="2" type="noConversion"/>
  </si>
  <si>
    <t>#115</t>
    <phoneticPr fontId="2" type="noConversion"/>
  </si>
  <si>
    <t>GD_i_027 OS 최신 유지 제외, GD_i_036 OS 최신 유지 기기로 설정</t>
    <phoneticPr fontId="2" type="noConversion"/>
  </si>
  <si>
    <t>#116</t>
  </si>
  <si>
    <t>이복기</t>
  </si>
  <si>
    <t>GD_i_036 iPhone 12 Pro 버전 업데이트 (Ver 16.6.1 -&gt; 17.2.1)</t>
  </si>
  <si>
    <t>#117</t>
    <phoneticPr fontId="2" type="noConversion"/>
  </si>
  <si>
    <t>이하림</t>
    <phoneticPr fontId="2" type="noConversion"/>
  </si>
  <si>
    <t>GD_i_017 iPad Pro 11형 OS 정보 업데이트 (17.2 → 17.3.1)</t>
    <phoneticPr fontId="2" type="noConversion"/>
  </si>
  <si>
    <t>#118</t>
    <phoneticPr fontId="2" type="noConversion"/>
  </si>
  <si>
    <t>여종규</t>
    <phoneticPr fontId="2" type="noConversion"/>
  </si>
  <si>
    <t>GD_i_025 iPhone XR OS 정보 업데이트 (17.2.1 → 17.3.1)</t>
    <phoneticPr fontId="2" type="noConversion"/>
  </si>
  <si>
    <t>#119</t>
    <phoneticPr fontId="2" type="noConversion"/>
  </si>
  <si>
    <t>GD_i_025 iPhone XR OS 정보 업데이트 (17.3.1 → 17.4)
GD_i_036 iPhone XR OS 정보 업데이트 (17.2.1 → 17.4)</t>
    <phoneticPr fontId="2" type="noConversion"/>
  </si>
  <si>
    <t>#120</t>
    <phoneticPr fontId="2" type="noConversion"/>
  </si>
  <si>
    <t>백승우</t>
    <phoneticPr fontId="2" type="noConversion"/>
  </si>
  <si>
    <t>GD_i_017 iPad Pro 11 OS 정보 업데이트 (17.3.1 → 17.4)</t>
    <phoneticPr fontId="2" type="noConversion"/>
  </si>
  <si>
    <t>#121</t>
    <phoneticPr fontId="2" type="noConversion"/>
  </si>
  <si>
    <t>GD_A_084 Galaxy S20 (12.0) / GD_i_031 iPhone SE 3rd (15.4.1) 운영2실 모니터링 파트 장기 대여</t>
    <phoneticPr fontId="2" type="noConversion"/>
  </si>
  <si>
    <t>#122</t>
    <phoneticPr fontId="2" type="noConversion"/>
  </si>
  <si>
    <t>GD_A_089 Pixel 7 고장으로 수리 필요 상태로 변경</t>
    <phoneticPr fontId="2" type="noConversion"/>
  </si>
  <si>
    <t>#123</t>
    <phoneticPr fontId="2" type="noConversion"/>
  </si>
  <si>
    <t>GD_i_021 iPhone SE2 OS 정보 업데이트 (OS 13.4.1 -&gt; OS 17.4.1), OS 최신 유지 기기로 설정</t>
    <phoneticPr fontId="2" type="noConversion"/>
  </si>
  <si>
    <t>#124</t>
    <phoneticPr fontId="2" type="noConversion"/>
  </si>
  <si>
    <t>#125</t>
  </si>
  <si>
    <t>GD_A_084 Galaxy S20 (12.0) / GD_i_031 iPhone SE 3rd (15.4.1) 운영2실 모니터링 파트 장기 대여 회수</t>
    <phoneticPr fontId="2" type="noConversion"/>
  </si>
  <si>
    <t>#126</t>
    <phoneticPr fontId="2" type="noConversion"/>
  </si>
  <si>
    <t>GD_i_028 iPhone SE2 OS 정보 업데이트 (16.6.1 → 17.5)</t>
    <phoneticPr fontId="2" type="noConversion"/>
  </si>
  <si>
    <t>#127</t>
    <phoneticPr fontId="2" type="noConversion"/>
  </si>
  <si>
    <t>김종훈</t>
    <phoneticPr fontId="2" type="noConversion"/>
  </si>
  <si>
    <t>GD_i_025 iPhone XR OS 정보 업데이트 (17.4 → 17.5.1)</t>
    <phoneticPr fontId="2" type="noConversion"/>
  </si>
  <si>
    <t>#128</t>
    <phoneticPr fontId="2" type="noConversion"/>
  </si>
  <si>
    <t>GD_i_028 iPhone SE2 OS 정보 업데이트 (17.5 → 17.5.1)</t>
    <phoneticPr fontId="2" type="noConversion"/>
  </si>
  <si>
    <t>#129</t>
    <phoneticPr fontId="2" type="noConversion"/>
  </si>
  <si>
    <t>내부 디바이스 OS 정보 갱신</t>
    <phoneticPr fontId="2" type="noConversion"/>
  </si>
  <si>
    <t>#130</t>
  </si>
  <si>
    <t>GD_A_080 Pixel 6a OS 유지 디바이스로 변경 및 OS 업데이트(OS 14 -&gt; OS 15 (beta))</t>
    <phoneticPr fontId="2" type="noConversion"/>
  </si>
  <si>
    <t>#131</t>
    <phoneticPr fontId="2" type="noConversion"/>
  </si>
  <si>
    <t>GD_A_059 Galaxy S20 FE OS 최신 유지 디바이스 OS 업데이트(OS 12 -&gt; OS 13)</t>
    <phoneticPr fontId="2" type="noConversion"/>
  </si>
  <si>
    <t>#132</t>
  </si>
  <si>
    <t>GD_i_017 iPad Pro 11형(3세대), GD_i_025 iPhone XR OS 최신 유지 디바이스 OS 업데이트(OS 17.5.1 -&gt; OS 17.6.1)</t>
    <phoneticPr fontId="2" type="noConversion"/>
  </si>
  <si>
    <t>#133</t>
    <phoneticPr fontId="2" type="noConversion"/>
  </si>
  <si>
    <t>GD_A_055 wing 배터리 부풀어 수리 필요로 전환</t>
    <phoneticPr fontId="2" type="noConversion"/>
  </si>
  <si>
    <t>#134</t>
  </si>
  <si>
    <t>GD_i_36 iPhone 12 Pro OS 17.5.1 &gt; 17.6.1로 업데이트(이하림)</t>
    <phoneticPr fontId="2" type="noConversion"/>
  </si>
  <si>
    <t>#135</t>
  </si>
  <si>
    <t>GD_A_092 POCO X6 Pro(OS14), GD_A_093 Redmi Note 13 Pro(OS13) 신규 디바이스 등록</t>
    <phoneticPr fontId="2" type="noConversion"/>
  </si>
  <si>
    <t>#136</t>
    <phoneticPr fontId="2" type="noConversion"/>
  </si>
  <si>
    <t>GD_A_094 Galaxy A55(OS14), GD_A_095 P"ixel 8a(OS14) 신규 디바이스 등록</t>
    <phoneticPr fontId="2" type="noConversion"/>
  </si>
  <si>
    <t>#137</t>
    <phoneticPr fontId="2" type="noConversion"/>
  </si>
  <si>
    <t>GD_A_063 Mi 10T 5G 배터리 부풀어 수리 필요로 전환</t>
    <phoneticPr fontId="2" type="noConversion"/>
  </si>
  <si>
    <t>#138</t>
  </si>
  <si>
    <t>GD_A_096 Galaxy A55(OS14), GD_A_097 Galaxy A55(OS14) 신규 디바이스 등록</t>
    <phoneticPr fontId="2" type="noConversion"/>
  </si>
  <si>
    <t>#139</t>
    <phoneticPr fontId="2" type="noConversion"/>
  </si>
  <si>
    <t>GD_A_098 ~ GD_A_104, GD_i_040 ~ GD_i_046 총 14대 신규 디바이스 등록</t>
    <phoneticPr fontId="2" type="noConversion"/>
  </si>
  <si>
    <t>#140</t>
    <phoneticPr fontId="2" type="noConversion"/>
  </si>
  <si>
    <t>GD_A_065 Redmi Note 9, GD_A_061 Redmi Note 9T 배터리 부풀어 수리 상태로 변경
GD_i_036 iPhone 12 Pro OS 최신 유지 디바이스 OS 업데이트(OS 17.6.1 -&gt; 18)</t>
    <phoneticPr fontId="2" type="noConversion"/>
  </si>
  <si>
    <t>#141</t>
  </si>
  <si>
    <t>외부 디바이스 정보 갱신 - 디바이스 인치 정보 추가</t>
    <phoneticPr fontId="2" type="noConversion"/>
  </si>
  <si>
    <t>#142</t>
  </si>
  <si>
    <t>수리 완료 기기 정상 상태로 변경 (AOS 5대)</t>
    <phoneticPr fontId="2" type="noConversion"/>
  </si>
  <si>
    <t>#143</t>
  </si>
  <si>
    <t>GD_A_028 G5 배터리 부풀어 수리 상태로 변경</t>
    <phoneticPr fontId="2" type="noConversion"/>
  </si>
  <si>
    <t>#144</t>
  </si>
  <si>
    <t>GD_i_047 iPhone 16 신규 디바이스 등록 및 전체 디바이스 AP 정보 갱신</t>
    <phoneticPr fontId="2" type="noConversion"/>
  </si>
  <si>
    <t>#145</t>
  </si>
  <si>
    <t>디바이스 명칭 정리 및 테스트 기기 상태에 '대여' 항목 추가</t>
    <phoneticPr fontId="2" type="noConversion"/>
  </si>
  <si>
    <t>#146</t>
    <phoneticPr fontId="2" type="noConversion"/>
  </si>
  <si>
    <t>GD_A_028 G5, GD_A_030 Galaxy S9 수리 상태로 변경</t>
    <phoneticPr fontId="2" type="noConversion"/>
  </si>
  <si>
    <t>#147</t>
  </si>
  <si>
    <t>GD_i_028 iPhone SE2 OS 최신 유지 디바이스 OS 업데이트(OS 17.5.1 -&gt; OS 18.0.1)</t>
    <phoneticPr fontId="2" type="noConversion"/>
  </si>
  <si>
    <t>#148</t>
  </si>
  <si>
    <t>GD_A_077 Galaxy S21 5G, GD_A_092 POCO X6 Pro 회수하여 정상으로 상태 변경</t>
    <phoneticPr fontId="2" type="noConversion"/>
  </si>
  <si>
    <t>#149</t>
  </si>
  <si>
    <t>GD_i_036 iPhone 12 pro 최신 유지 디바이스 OS 업데이트(OS 18.0.1 -&gt; OS 18.1)</t>
    <phoneticPr fontId="2" type="noConversion"/>
  </si>
  <si>
    <t>#150</t>
  </si>
  <si>
    <t>GD_i_028 iPhone SE2 OS 최신 유지 디바이스 OS 업데이트(OS 18.0.1 -&gt; OS 18.1)</t>
    <phoneticPr fontId="2" type="noConversion"/>
  </si>
  <si>
    <t>#151</t>
  </si>
  <si>
    <t>GD_A_084 Galaxy S20(OS12), GD_A_090 Galaxy S21+(OS13) 글로벌서비스 1팀 중국어2파트 왕선아 장기 대여(회수 완료)</t>
    <phoneticPr fontId="2" type="noConversion"/>
  </si>
  <si>
    <t>#152</t>
  </si>
  <si>
    <t>GD_i_008 iPad Air 2(15.7.1), GD_i_040 iPhone 13(17.6.1), GD_i_041 iPhone 13(17.6.1), GD_i_043 iPhone 14(17.5.1) 12/5 까지 글로벌 서비스2팀 이시히창희 대여(회수 완료)</t>
    <phoneticPr fontId="2" type="noConversion"/>
  </si>
  <si>
    <t>#153</t>
  </si>
  <si>
    <t>GD_A_082 Galaxy S20 Ultra 5G (OS12) 남희욱 센터장 장기 대여(회수 완료)</t>
    <phoneticPr fontId="2" type="noConversion"/>
  </si>
  <si>
    <t>#154</t>
    <phoneticPr fontId="2" type="noConversion"/>
  </si>
  <si>
    <t>GD_A_082 Galaxy S20 Ultra 5G OS12 -&gt; OS13 업데이트</t>
    <phoneticPr fontId="2" type="noConversion"/>
  </si>
  <si>
    <t>#155</t>
    <phoneticPr fontId="2" type="noConversion"/>
  </si>
  <si>
    <t>GD_i_036 iPhone 12 Pro 최신 유지 디바이스 OS 업데이트(OS 18.1 -&gt; OS 18.3.1)</t>
    <phoneticPr fontId="2" type="noConversion"/>
  </si>
  <si>
    <t>#156</t>
  </si>
  <si>
    <t>GD_A_077 Galaxy S21 5G, GD_A_097 Galaxy A55 게임컨설팅 FGT 진행으로 대여(회수완료)</t>
    <phoneticPr fontId="2" type="noConversion"/>
  </si>
  <si>
    <t>#157</t>
  </si>
  <si>
    <t>GD_A_034 POCO F1(8.1), GD_A_046 LG V40 ThinQ(9.0), GD_A_065 Redmi Note 9(10) 글섭1팀 왕선아 대여(회수 완료)</t>
    <phoneticPr fontId="2" type="noConversion"/>
  </si>
  <si>
    <t>#158</t>
  </si>
  <si>
    <t>GD_i_028 iPhone SE2 OS 최신 유지 디바이스 OS 업데이트(OS 18.1 -&gt; OS 18.3.2)</t>
    <phoneticPr fontId="2" type="noConversion"/>
  </si>
  <si>
    <t>#159</t>
  </si>
  <si>
    <t>GD_A_030 Galaxy S9, GD_A_087 Galaxy A42 5G 수리 완료로 입고 처리</t>
    <phoneticPr fontId="2" type="noConversion"/>
  </si>
  <si>
    <t>#160</t>
    <phoneticPr fontId="2" type="noConversion"/>
  </si>
  <si>
    <t>GD_A_032 G7ThinQ, GD_A_055 WING 수리 완료로 입고 처리</t>
    <phoneticPr fontId="2" type="noConversion"/>
  </si>
  <si>
    <t>#161</t>
    <phoneticPr fontId="2" type="noConversion"/>
  </si>
  <si>
    <t>GD_A_095 Pixel 8a 최신 유지 디바이스 OS 업데이트(OS 16(beta3) &gt; OS 16(beta4)</t>
    <phoneticPr fontId="2" type="noConversion"/>
  </si>
  <si>
    <t>#162</t>
    <phoneticPr fontId="2" type="noConversion"/>
  </si>
  <si>
    <t>GD_A_014 Galaxy S7 글로벌서비스팀(하진팀장) 장기 대여 회수 완료</t>
    <phoneticPr fontId="2" type="noConversion"/>
  </si>
  <si>
    <t>#163</t>
  </si>
  <si>
    <t>GD_i_025 iPhone XR 최신 유지 디바이스 OS 업데이트(17.6.1 &gt; 18.4.1)</t>
    <phoneticPr fontId="2" type="noConversion"/>
  </si>
  <si>
    <t>#164</t>
  </si>
  <si>
    <t>GD_A_014 Galaxy Z Fold 충전 단자 고장으로 수리 필요</t>
  </si>
  <si>
    <t>#165</t>
  </si>
  <si>
    <t>GD_i_027 iPhone X 충전 상태 불량(배터리 풀 충전 후 단자 제거 시 70%로 떨어짐)</t>
    <phoneticPr fontId="2" type="noConversion"/>
  </si>
  <si>
    <t>#166</t>
  </si>
  <si>
    <t>GD_i_028 iPhone SE2 최신 유지 디바이스 OS 업데이트(OS 18.3.2 -&gt; 18.5)
GD_i_036 iPhone 12 Pro 최신 유지 디바이스 OS 업데잍(OS 18.3.1 -&gt; 18.5)</t>
    <phoneticPr fontId="2" type="noConversion"/>
  </si>
  <si>
    <t>#167</t>
  </si>
  <si>
    <t>GD_i_028 SE2 최신 유지 디바이스 OS 업데이트(OS 18.5 -&gt; 26.0(23A5260n))
GD_i_036 iPhone 12 Pro 최신 유지 디바이스 OS 업데이트(OS 18.5 -&gt; 26.0(23A5260n))</t>
    <phoneticPr fontId="2" type="noConversion"/>
  </si>
  <si>
    <t>#168</t>
  </si>
  <si>
    <t>GD_i_021 iPhone SE2 최신 유지 디바이스 OS 업데이트(OS 17.4.1 -&gt; 18.5)
GD_A_080 Pixel 6a 최신 유지 디바이스 OS 업데이트(OS 15 -&gt; 16(QPR1))</t>
    <phoneticPr fontId="2" type="noConversion"/>
  </si>
  <si>
    <t>#169</t>
    <phoneticPr fontId="2" type="noConversion"/>
  </si>
  <si>
    <t>GD_A_063 Xiaomi Mi 10T 5G 배터리 부품으로 수리 필요</t>
    <phoneticPr fontId="2" type="noConversion"/>
  </si>
  <si>
    <t>#170</t>
    <phoneticPr fontId="2" type="noConversion"/>
  </si>
  <si>
    <t>GD_A_101 Galaxy S23 최신 유지 디바이스 OS 업데이트(OS 14.0 -&gt; 15.0)</t>
    <phoneticPr fontId="2" type="noConversion"/>
  </si>
  <si>
    <t>#171</t>
  </si>
  <si>
    <t>GD_i_028 SE2 최신 유지 디바이스 OS 업데이트(26.0(23A5260n) -&gt;26.0(23A5297m))</t>
    <phoneticPr fontId="2" type="noConversion"/>
  </si>
  <si>
    <t>#172</t>
  </si>
  <si>
    <t>GD_A_052 Galaxy Fold 충전 단자 고장으로 수리 필요</t>
    <phoneticPr fontId="2" type="noConversion"/>
  </si>
  <si>
    <t>#173</t>
  </si>
  <si>
    <t>GD_i_021 iPhone SE2 최신 유지 디바이스 OS 업데이트(OS 18.6 -&gt; 18.6.2)</t>
    <phoneticPr fontId="2" type="noConversion"/>
  </si>
  <si>
    <t>#174</t>
  </si>
  <si>
    <t xml:space="preserve">GD_i_005 iPhone 6(10.2.1), GD_i_013 iPhone 5s(8.3) 충전 불량으로 수리 상태로 전환 </t>
    <phoneticPr fontId="2" type="noConversion"/>
  </si>
  <si>
    <t>#175</t>
  </si>
  <si>
    <t>GD_i_002 iPhone 5(10.3.2) 브랜드사업실 장기 대여</t>
    <phoneticPr fontId="2" type="noConversion"/>
  </si>
  <si>
    <t>#176</t>
    <phoneticPr fontId="2" type="noConversion"/>
  </si>
  <si>
    <t>GD_i_036 iPhone 12 pro 최신 유지 디바이스 OS 업데이트(26.0(23A5326a) -&gt; 26.0(23A340))</t>
    <phoneticPr fontId="2" type="noConversion"/>
  </si>
  <si>
    <t>#177</t>
    <phoneticPr fontId="2" type="noConversion"/>
  </si>
  <si>
    <t>김원무</t>
    <phoneticPr fontId="2" type="noConversion"/>
  </si>
  <si>
    <t>GD_i_017 iPad Pro 11형(3세대) 최신 유지 디바이스 OS 업데이트(17.6.1 -&gt; 26)</t>
    <phoneticPr fontId="2" type="noConversion"/>
  </si>
  <si>
    <t>#178</t>
    <phoneticPr fontId="2" type="noConversion"/>
  </si>
  <si>
    <t>송윤석</t>
    <phoneticPr fontId="2" type="noConversion"/>
  </si>
  <si>
    <t>GD_i_028 iPhone SE2 최신 유지 디바이스 OS 업데이트 (26.0 (23A5297m) -&gt; 26.0(23A340))</t>
    <phoneticPr fontId="2" type="noConversion"/>
  </si>
  <si>
    <t>#179</t>
    <phoneticPr fontId="2" type="noConversion"/>
  </si>
  <si>
    <t>최언솔</t>
    <phoneticPr fontId="2" type="noConversion"/>
  </si>
  <si>
    <t>GD_i_028 iPhone SE2 최신 유지 디바이스 OS 업데이트 (26.0 (23A340) -&gt; 26.0(23A341))</t>
    <phoneticPr fontId="2" type="noConversion"/>
  </si>
  <si>
    <t>#180</t>
    <phoneticPr fontId="2" type="noConversion"/>
  </si>
  <si>
    <t>황준필</t>
    <phoneticPr fontId="2" type="noConversion"/>
  </si>
  <si>
    <t>GD_i_036 iPhone 12 pro 최신 유지 디바이스 OS 업데이트(26.0(23A340) -&gt; 26.0(23A340))</t>
    <phoneticPr fontId="2" type="noConversion"/>
  </si>
  <si>
    <t>#181</t>
    <phoneticPr fontId="2" type="noConversion"/>
  </si>
  <si>
    <t>GD_i_021 iPhone SE2 (18.6.2), GD_i_025 iPhone XR (18.4.1) 최신 유지 디바이스 리스트에서 삭제
GD_i_041 iPhone 13 (17.6.1) / GD_i_035 iPhone 11 Pro(15.6.1) 최신 유지 디바이스 등록</t>
    <phoneticPr fontId="2" type="noConversion"/>
  </si>
  <si>
    <t>#182</t>
  </si>
  <si>
    <t>GD_i_014 iPad pro 9.7형 충전 불량으로 수리 상태로 전환</t>
    <phoneticPr fontId="2" type="noConversion"/>
  </si>
  <si>
    <t>#183</t>
  </si>
  <si>
    <t>GD_i_036 iPhone 12 Pro 최신 유지 디바이스 OS 업데이트 (26.0 -&gt; 26.0.1)</t>
    <phoneticPr fontId="2" type="noConversion"/>
  </si>
  <si>
    <t>#184</t>
  </si>
  <si>
    <t>GD_i_046 iPad Air(5세대) &amp; GD_i_040 iPhone 13 글로벌서비스팀 김현욱 LQA 진행을 위해 10/30(목) 까지 장기 대여</t>
    <phoneticPr fontId="2" type="noConversion"/>
  </si>
  <si>
    <t>#185</t>
  </si>
  <si>
    <t>GD_A_064 Pixel 4a 배터리 부풀어 수리 필요, 상태 변경</t>
    <phoneticPr fontId="2" type="noConversion"/>
  </si>
  <si>
    <t>#186</t>
    <phoneticPr fontId="2" type="noConversion"/>
  </si>
  <si>
    <t>GD_i_035 iPhone 11 Pro 최신 유지 디바이스 OS 업데이트 (15.6.1 -&gt; 26.0.1)</t>
    <phoneticPr fontId="2" type="noConversion"/>
  </si>
  <si>
    <t>#187</t>
  </si>
  <si>
    <t>GD_i_040 iPhone 13 글로벌서비스팀 김현욱 회수 완료</t>
    <phoneticPr fontId="2" type="noConversion"/>
  </si>
  <si>
    <t>#188</t>
    <phoneticPr fontId="2" type="noConversion"/>
  </si>
  <si>
    <t>GD_i_043 iPhone 14 글로벌서비스팀 김현욱 LQA 진행을 위해 10/30(목) 까지 장기 대여</t>
    <phoneticPr fontId="2" type="noConversion"/>
  </si>
  <si>
    <t>#189</t>
  </si>
  <si>
    <t>GD_i_046 iPad Air(5세대) 회수 완료, GD_i_045 iPhone 15 Pro 글로벌서비스팀 김현욱 대여</t>
    <phoneticPr fontId="2" type="noConversion"/>
  </si>
  <si>
    <t>#190</t>
    <phoneticPr fontId="2" type="noConversion"/>
  </si>
  <si>
    <t>GD_A_051 Galaxy Z Flip 디스플레이 화면 색상 이상으로 수리 상태로 전환(곽정임, 이하은)</t>
    <phoneticPr fontId="2" type="noConversion"/>
  </si>
  <si>
    <t>#191</t>
    <phoneticPr fontId="2" type="noConversion"/>
  </si>
  <si>
    <t>GD_i_043 iPhone 14, GD_i_045 iPhone 15 Pro 회수 완료</t>
    <phoneticPr fontId="2" type="noConversion"/>
  </si>
  <si>
    <t>#192</t>
    <phoneticPr fontId="2" type="noConversion"/>
  </si>
  <si>
    <t>GD_i_029 iPhone 12 웹 서비스 팀 김소연님 RESU 웹 상점 이슈 확인을 위해 당일 대여</t>
    <phoneticPr fontId="2" type="noConversion"/>
  </si>
  <si>
    <t>#193</t>
    <phoneticPr fontId="2" type="noConversion"/>
  </si>
  <si>
    <t>GD_i_029 iPhone 12 웹 서비스 팀 김소연 회수 완료</t>
    <phoneticPr fontId="2" type="noConversion"/>
  </si>
  <si>
    <t>#194</t>
  </si>
  <si>
    <t>GD_i_038 iPhone 13 Pro, GD_i_044 iPhone 14+ 글로벌서비스팀 김현욱 LQA 진행을 위해 11/05(수) 까지 장기 대여</t>
    <phoneticPr fontId="2" type="noConversion"/>
  </si>
  <si>
    <t>#195</t>
    <phoneticPr fontId="2" type="noConversion"/>
  </si>
  <si>
    <t>GD_A_095 Pixel 8a 최신 OS 유지 디바이스로 전환</t>
    <phoneticPr fontId="2" type="noConversion"/>
  </si>
  <si>
    <t>#196</t>
  </si>
  <si>
    <t>GD_i_036 iPhone 12 Pro 최신 OS 유지 디바이스 업데이트(26.0.1 &gt; 26.1)</t>
    <phoneticPr fontId="2" type="noConversion"/>
  </si>
  <si>
    <t>#197</t>
    <phoneticPr fontId="2" type="noConversion"/>
  </si>
  <si>
    <t>GD_A_066 Redmi Note8(9.0) 글로벌서비스1팀 왕선아 대여</t>
    <phoneticPr fontId="2" type="noConversion"/>
  </si>
  <si>
    <t>#198</t>
    <phoneticPr fontId="2" type="noConversion"/>
  </si>
  <si>
    <t>AOS/iOS OS 정보 갱신(일부 진행)</t>
    <phoneticPr fontId="2" type="noConversion"/>
  </si>
  <si>
    <t>#199</t>
  </si>
  <si>
    <t>GD_A_071 Y9 (2019) 배터리 부풀어 수리 필요, 상태 변경</t>
    <phoneticPr fontId="2" type="noConversion"/>
  </si>
  <si>
    <t>#200</t>
    <phoneticPr fontId="2" type="noConversion"/>
  </si>
  <si>
    <t>GD_i_036 iPhone 12 Pro 최신 유지 디바이스 OS 업데이트(26.1 -&gt; 26.2)</t>
    <phoneticPr fontId="2" type="noConversion"/>
  </si>
  <si>
    <t>#201</t>
    <phoneticPr fontId="2" type="noConversion"/>
  </si>
  <si>
    <t>GD_A_104 Galaxy Z Fold 5 - 메인 액정에 2mm 정도의 흰색 선 생김 (액정 깨짐)</t>
    <phoneticPr fontId="2" type="noConversion"/>
  </si>
  <si>
    <t>#202</t>
    <phoneticPr fontId="2" type="noConversion"/>
  </si>
  <si>
    <t>이하은</t>
    <phoneticPr fontId="2" type="noConversion"/>
  </si>
  <si>
    <t>GD_i_035 iPhone 11 Pro 최신 유지 디바이스 OS 업데이트 (26.0.1 -&gt; 26.2.1)</t>
    <phoneticPr fontId="2" type="noConversion"/>
  </si>
  <si>
    <t>#203</t>
    <phoneticPr fontId="2" type="noConversion"/>
  </si>
  <si>
    <t>외부 디바이스 정보 갱신 및 통합(센터 위치 항목 추가로 구분)</t>
    <phoneticPr fontId="2" type="noConversion"/>
  </si>
  <si>
    <t>테스트 기기 보유 현황</t>
    <phoneticPr fontId="2" type="noConversion"/>
  </si>
  <si>
    <t>구분</t>
    <phoneticPr fontId="2" type="noConversion"/>
  </si>
  <si>
    <t>상태</t>
    <phoneticPr fontId="2" type="noConversion"/>
  </si>
  <si>
    <t>수량</t>
    <phoneticPr fontId="2" type="noConversion"/>
  </si>
  <si>
    <t>Phone</t>
    <phoneticPr fontId="2" type="noConversion"/>
  </si>
  <si>
    <t>Pad</t>
    <phoneticPr fontId="2" type="noConversion"/>
  </si>
  <si>
    <t>정상</t>
    <phoneticPr fontId="2" type="noConversion"/>
  </si>
  <si>
    <t>폐기</t>
    <phoneticPr fontId="2" type="noConversion"/>
  </si>
  <si>
    <t>대여</t>
    <phoneticPr fontId="2" type="noConversion"/>
  </si>
  <si>
    <t>OS 최신 유지 기기</t>
  </si>
  <si>
    <t>식별번호</t>
    <phoneticPr fontId="2" type="noConversion"/>
  </si>
  <si>
    <t>제조사</t>
    <phoneticPr fontId="2" type="noConversion"/>
  </si>
  <si>
    <t>기기명</t>
  </si>
  <si>
    <t>모델명</t>
  </si>
  <si>
    <t>Chipset</t>
    <phoneticPr fontId="2" type="noConversion"/>
  </si>
  <si>
    <t>CPU</t>
    <phoneticPr fontId="2" type="noConversion"/>
  </si>
  <si>
    <t>GPU</t>
    <phoneticPr fontId="2" type="noConversion"/>
  </si>
  <si>
    <t>Memory</t>
    <phoneticPr fontId="2" type="noConversion"/>
  </si>
  <si>
    <t>Bluetooth</t>
    <phoneticPr fontId="2" type="noConversion"/>
  </si>
  <si>
    <t>화면 크기</t>
    <phoneticPr fontId="2" type="noConversion"/>
  </si>
  <si>
    <t>해상도</t>
    <phoneticPr fontId="2" type="noConversion"/>
  </si>
  <si>
    <t>OS버전</t>
    <phoneticPr fontId="2" type="noConversion"/>
  </si>
  <si>
    <t>등록일</t>
    <phoneticPr fontId="2" type="noConversion"/>
  </si>
  <si>
    <t>확인일</t>
  </si>
  <si>
    <t>비고</t>
    <phoneticPr fontId="2" type="noConversion"/>
  </si>
  <si>
    <t>UDID</t>
    <phoneticPr fontId="2" type="noConversion"/>
  </si>
  <si>
    <t>GD_A_001</t>
  </si>
  <si>
    <t>삼성</t>
  </si>
  <si>
    <t>Galaxy S3</t>
  </si>
  <si>
    <t>SHV-E210K</t>
  </si>
  <si>
    <t>Samsung Exynos Quad 4412</t>
    <phoneticPr fontId="2" type="noConversion"/>
  </si>
  <si>
    <t>ARM Cortex-A9 MP4 1.6 GHz</t>
  </si>
  <si>
    <t>ARM Mali-400 MP4 440 HMz</t>
  </si>
  <si>
    <t>1 GB</t>
  </si>
  <si>
    <t>4.8"</t>
  </si>
  <si>
    <t>1280 x 720</t>
  </si>
  <si>
    <t>2018-05-04</t>
    <phoneticPr fontId="2" type="noConversion"/>
  </si>
  <si>
    <t>주사위의신 최소사양</t>
    <phoneticPr fontId="2" type="noConversion"/>
  </si>
  <si>
    <t>GD_A_002</t>
    <phoneticPr fontId="2" type="noConversion"/>
  </si>
  <si>
    <t>폐기</t>
  </si>
  <si>
    <t>Galaxy S4</t>
    <phoneticPr fontId="2" type="noConversion"/>
  </si>
  <si>
    <t>SHV-E300S</t>
    <phoneticPr fontId="2" type="noConversion"/>
  </si>
  <si>
    <t xml:space="preserve">Samsung Exynos 5 Octa 5410
</t>
    <phoneticPr fontId="2" type="noConversion"/>
  </si>
  <si>
    <t>ARM Cortex-A15 MP4 1.6 GHz
ARM Cortex-A7 MP4 1.2 GHz</t>
  </si>
  <si>
    <t>PowerVR SGX544 MP3 533 MHz</t>
    <phoneticPr fontId="2" type="noConversion"/>
  </si>
  <si>
    <t>2GB</t>
  </si>
  <si>
    <t>4.99"</t>
  </si>
  <si>
    <t>1920 x 1080</t>
  </si>
  <si>
    <t>-</t>
    <phoneticPr fontId="2" type="noConversion"/>
  </si>
  <si>
    <t>2018.05.04</t>
    <phoneticPr fontId="2" type="noConversion"/>
  </si>
  <si>
    <t>GD_A_003</t>
  </si>
  <si>
    <t>펜택</t>
    <phoneticPr fontId="2" type="noConversion"/>
  </si>
  <si>
    <t>Vega Secret Note</t>
    <phoneticPr fontId="2" type="noConversion"/>
  </si>
  <si>
    <t>IM-A890L</t>
  </si>
  <si>
    <t>Qualcomm Snapdragon 800
MSM8974</t>
    <phoneticPr fontId="2" type="noConversion"/>
  </si>
  <si>
    <t>Qualcomm Krait 400 MP4 2.27 GHz</t>
  </si>
  <si>
    <t>Qualcomm Adreno 330 450 MHz</t>
  </si>
  <si>
    <t>3 GB</t>
  </si>
  <si>
    <t>5.9"</t>
  </si>
  <si>
    <t>4.4.2</t>
  </si>
  <si>
    <t>GD_A_004</t>
  </si>
  <si>
    <t>Galaxy Note pro 12.2</t>
    <phoneticPr fontId="2" type="noConversion"/>
  </si>
  <si>
    <t>SM-P900</t>
  </si>
  <si>
    <r>
      <t xml:space="preserve">Samsung Exynos 5 Octa </t>
    </r>
    <r>
      <rPr>
        <sz val="9"/>
        <color theme="1"/>
        <rFont val="Arial"/>
        <family val="2"/>
      </rPr>
      <t>5420</t>
    </r>
    <phoneticPr fontId="2" type="noConversion"/>
  </si>
  <si>
    <t>ARM Cortex-A15 MP4 1.9 GHz
ARM Cortex-A7 MP4 1.3 GHz</t>
    <phoneticPr fontId="2" type="noConversion"/>
  </si>
  <si>
    <t>ARM Mali-T628 MP6 480 MHz</t>
    <phoneticPr fontId="2" type="noConversion"/>
  </si>
  <si>
    <t>12.19"</t>
  </si>
  <si>
    <t>2560 x 1600</t>
  </si>
  <si>
    <t>5.0.2</t>
  </si>
  <si>
    <t>2023.03.28</t>
    <phoneticPr fontId="2" type="noConversion"/>
  </si>
  <si>
    <t>수리불가
(단종 모델로 부품 재고 없음)</t>
    <phoneticPr fontId="2" type="noConversion"/>
  </si>
  <si>
    <t>GD_A_005</t>
  </si>
  <si>
    <t>Galaxy Note 4</t>
    <phoneticPr fontId="2" type="noConversion"/>
  </si>
  <si>
    <t>SM-N910S</t>
  </si>
  <si>
    <t>Samsung Exynos 7 Octa 5433</t>
  </si>
  <si>
    <t>ARM Cortex-A57 MP4 1.9 GHz 
ARM Cortex-A53 MP4 1.3 GHz</t>
  </si>
  <si>
    <t>ARM Mali-T760 MP6 700 MHz</t>
  </si>
  <si>
    <t>5.7"</t>
  </si>
  <si>
    <t>2560 x 1440</t>
  </si>
  <si>
    <t>6.0.1</t>
  </si>
  <si>
    <t>GD_A_006</t>
  </si>
  <si>
    <t>SM-N910K</t>
  </si>
  <si>
    <t>Samsung Exynos 7 Octa 5433</t>
    <phoneticPr fontId="2" type="noConversion"/>
  </si>
  <si>
    <t>GD_A_007</t>
  </si>
  <si>
    <t>LG</t>
    <phoneticPr fontId="2" type="noConversion"/>
  </si>
  <si>
    <t>LG G4</t>
    <phoneticPr fontId="2" type="noConversion"/>
  </si>
  <si>
    <t>LG-F500S</t>
    <phoneticPr fontId="2" type="noConversion"/>
  </si>
  <si>
    <r>
      <rPr>
        <sz val="9"/>
        <color theme="1"/>
        <rFont val="Arial"/>
        <family val="3"/>
      </rPr>
      <t>Qualcomm Snapdragon</t>
    </r>
    <r>
      <rPr>
        <sz val="9"/>
        <color theme="1"/>
        <rFont val="Arial"/>
        <family val="2"/>
      </rPr>
      <t xml:space="preserve"> 808
MSM8992</t>
    </r>
    <phoneticPr fontId="2" type="noConversion"/>
  </si>
  <si>
    <t>ARM Cortex-A57 MP2 1.8 GHz
ARM Cortex-A53 MP4 1.4 GHz</t>
    <phoneticPr fontId="2" type="noConversion"/>
  </si>
  <si>
    <t>Qualcomm Adreno 418 600 MHz</t>
    <phoneticPr fontId="2" type="noConversion"/>
  </si>
  <si>
    <t>5.5"</t>
  </si>
  <si>
    <t>6.0</t>
  </si>
  <si>
    <t>GD_A_008</t>
  </si>
  <si>
    <t>Galaxy S6</t>
  </si>
  <si>
    <t>SM-G920L</t>
  </si>
  <si>
    <t>Samsung Exynos 7 Octa 7420</t>
  </si>
  <si>
    <t>ARM Cortex-A57 MP4 2.1 GHz
ARM Cortex-A53 MP4 1.5 GHz</t>
  </si>
  <si>
    <t>ARM Mali-T760 MP8 772 MHz</t>
  </si>
  <si>
    <t>5.09"</t>
  </si>
  <si>
    <t>GD_A_009</t>
  </si>
  <si>
    <t>Galaxy Note 5</t>
  </si>
  <si>
    <t>SM-N920</t>
  </si>
  <si>
    <t>ARM Mali-T760 MP8 772 MHz</t>
    <phoneticPr fontId="2" type="noConversion"/>
  </si>
  <si>
    <t>4 GB</t>
  </si>
  <si>
    <t>GD_A_010</t>
  </si>
  <si>
    <t>TG</t>
    <phoneticPr fontId="2" type="noConversion"/>
  </si>
  <si>
    <t>LUNA</t>
  </si>
  <si>
    <t>TG-L800S</t>
  </si>
  <si>
    <t>Qualcomm Snapdragon 801
 MSM8974AC</t>
  </si>
  <si>
    <t>Qualcomm Krait 400 MP4 2.5 GHz</t>
  </si>
  <si>
    <t>Qualcomm Adreno 330 578MHz</t>
  </si>
  <si>
    <t xml:space="preserve"> 3 GB</t>
  </si>
  <si>
    <t>GD_A_011</t>
  </si>
  <si>
    <t>GOOGLE</t>
  </si>
  <si>
    <t>Nexus 5X</t>
  </si>
  <si>
    <t>LG-H791</t>
  </si>
  <si>
    <t>Qualcomm Snapdragon 808
MSM8992</t>
  </si>
  <si>
    <t>ARM Cortex-A57 MP2 1.8 GHz CPU
ARM Cortex-A53 MP4 1.4 GHz CPU</t>
  </si>
  <si>
    <t>Qualcomm Adreno 418 600 MHz</t>
  </si>
  <si>
    <t>2 GB</t>
  </si>
  <si>
    <t>5.2"</t>
    <phoneticPr fontId="2" type="noConversion"/>
  </si>
  <si>
    <t>7.1.1</t>
  </si>
  <si>
    <t>GD_A_012</t>
  </si>
  <si>
    <t>Galaxy A7 2016</t>
  </si>
  <si>
    <t>SM-A710L</t>
  </si>
  <si>
    <t>Samsung Exynos 7 Octa 7580</t>
  </si>
  <si>
    <t>ARM Cortex-A53 MP8 1.6 GHz</t>
  </si>
  <si>
    <t>ARM Mali-T720 MP2 800 MHz</t>
  </si>
  <si>
    <t>5.5"</t>
    <phoneticPr fontId="2" type="noConversion"/>
  </si>
  <si>
    <t>5.1.1</t>
  </si>
  <si>
    <t>GD_A_013</t>
  </si>
  <si>
    <t>Galaxy S7</t>
    <phoneticPr fontId="2" type="noConversion"/>
  </si>
  <si>
    <t>Samsung Exynos 8 Octa 8890</t>
  </si>
  <si>
    <t>Samsung Exynos M1 MP4 2.3 GHz
ARM Cortex-A53 MP4 1.6 GHz</t>
  </si>
  <si>
    <t>ARM Mali-T880 MP12 650 MHz</t>
  </si>
  <si>
    <t>4 GB</t>
    <phoneticPr fontId="2" type="noConversion"/>
  </si>
  <si>
    <t>5.1"</t>
    <phoneticPr fontId="2" type="noConversion"/>
  </si>
  <si>
    <t>GD_A_014</t>
  </si>
  <si>
    <t>정상</t>
  </si>
  <si>
    <t>Galaxy S7</t>
  </si>
  <si>
    <t>SM-G930K</t>
  </si>
  <si>
    <t>GD_A_015</t>
  </si>
  <si>
    <t>Galaxy S7 Edge</t>
  </si>
  <si>
    <t>SM-G935S</t>
  </si>
  <si>
    <t>8.0.0</t>
  </si>
  <si>
    <t>GD_A_016</t>
  </si>
  <si>
    <t>LG G5</t>
    <phoneticPr fontId="2" type="noConversion"/>
  </si>
  <si>
    <t>F700S</t>
  </si>
  <si>
    <t>Qualcomm Snapdragon 820
MSM8996</t>
    <phoneticPr fontId="2" type="noConversion"/>
  </si>
  <si>
    <t>Qualcomm Kryo Gold MP2 2.15 GHz
Qualcomm Kryo Silver MP2 1.59 GHz</t>
  </si>
  <si>
    <t>Qualcomm Adreno 530 624 MHz</t>
  </si>
  <si>
    <t>5.3"</t>
    <phoneticPr fontId="2" type="noConversion"/>
  </si>
  <si>
    <t>GD_A_017</t>
  </si>
  <si>
    <t>모토로라</t>
    <phoneticPr fontId="2" type="noConversion"/>
  </si>
  <si>
    <t>Moto Z</t>
    <phoneticPr fontId="2" type="noConversion"/>
  </si>
  <si>
    <t>XT1650-03</t>
  </si>
  <si>
    <t>Qualcomm Snapdragon 820
MSM8996</t>
  </si>
  <si>
    <t>4.1+LE</t>
    <phoneticPr fontId="2" type="noConversion"/>
  </si>
  <si>
    <t>수리 불가 및 충전 불량으로 폐기</t>
    <phoneticPr fontId="2" type="noConversion"/>
  </si>
  <si>
    <t>GD_A_018</t>
  </si>
  <si>
    <t>LG V20</t>
    <phoneticPr fontId="2" type="noConversion"/>
  </si>
  <si>
    <t>LG-F800S</t>
  </si>
  <si>
    <t>GD_A_019</t>
  </si>
  <si>
    <t>Pixel</t>
  </si>
  <si>
    <t>G-2PW4100</t>
  </si>
  <si>
    <t>Qualcomm Snapdragon 821
MSM8996</t>
  </si>
  <si>
    <t>Qualcomm Kryo MP2 2.34 GHz
Qualcomm Kryo MP2 1.6 GHz</t>
  </si>
  <si>
    <t>Qualcomm Adreno 530 653 MHz</t>
  </si>
  <si>
    <t>5.0"</t>
    <phoneticPr fontId="2" type="noConversion"/>
  </si>
  <si>
    <t>GD_A_020</t>
  </si>
  <si>
    <t>Pixel XL</t>
  </si>
  <si>
    <t>G-2PW2100</t>
  </si>
  <si>
    <t>Qualcomm Snapdragon 821
MSM8996</t>
    <phoneticPr fontId="2" type="noConversion"/>
  </si>
  <si>
    <t>Qualcomm Adreno 530 653 MHz</t>
    <phoneticPr fontId="2" type="noConversion"/>
  </si>
  <si>
    <t>GD_A_021</t>
  </si>
  <si>
    <t>GOOGLE</t>
    <phoneticPr fontId="2" type="noConversion"/>
  </si>
  <si>
    <t>Nexus 6P</t>
    <phoneticPr fontId="2" type="noConversion"/>
  </si>
  <si>
    <t>H1512</t>
  </si>
  <si>
    <t>Qualcomm Snapdragon 810
MSM8994</t>
    <phoneticPr fontId="2" type="noConversion"/>
  </si>
  <si>
    <t>ARM Cortex-A57 MP4 2 GHz CPU
ARM Cortex-A53 MP4 1.5 GHz CPU</t>
    <phoneticPr fontId="2" type="noConversion"/>
  </si>
  <si>
    <t>Qualcomm Adreno 430 600 MHz GPU</t>
    <phoneticPr fontId="2" type="noConversion"/>
  </si>
  <si>
    <t>5.7"</t>
    <phoneticPr fontId="2" type="noConversion"/>
  </si>
  <si>
    <t>8.1.0</t>
  </si>
  <si>
    <t>배터리 수명이 낮아 빨리 소모되나 충전기 꼽고 사용 가능</t>
    <phoneticPr fontId="2" type="noConversion"/>
  </si>
  <si>
    <t>GD_A_022</t>
    <phoneticPr fontId="2" type="noConversion"/>
  </si>
  <si>
    <t>Galaxy S8</t>
    <phoneticPr fontId="2" type="noConversion"/>
  </si>
  <si>
    <t>SM-G950N</t>
  </si>
  <si>
    <t>Samsung Exynos 9 Octa 8895</t>
  </si>
  <si>
    <t>Samsung Exynos M2 MP4 2.31 GHz
ARM Cortex-A53 MP4 1.69 GHz</t>
  </si>
  <si>
    <t>ARM Mali-G71 MP20 546 MHz</t>
  </si>
  <si>
    <t>5.8"</t>
    <phoneticPr fontId="2" type="noConversion"/>
  </si>
  <si>
    <t>2960 x 1440</t>
  </si>
  <si>
    <t>GD_A_023</t>
  </si>
  <si>
    <t>LG G6 ThinQ</t>
    <phoneticPr fontId="2" type="noConversion"/>
  </si>
  <si>
    <t>LGM-G600S</t>
  </si>
  <si>
    <t>5.72"</t>
    <phoneticPr fontId="2" type="noConversion"/>
  </si>
  <si>
    <t>2880 x 1440</t>
  </si>
  <si>
    <t>GD_A_024</t>
  </si>
  <si>
    <t>Samsung Exynos 4 Quad 4412</t>
  </si>
  <si>
    <t>ARM Cortex-A9 MP4 1.4GHz</t>
  </si>
  <si>
    <t>ARM Mali-400 533 MHz</t>
  </si>
  <si>
    <t>4.8"</t>
    <phoneticPr fontId="2" type="noConversion"/>
  </si>
  <si>
    <t>GD_A_025</t>
  </si>
  <si>
    <t>Galaxy Note 3</t>
  </si>
  <si>
    <t>SM-N900L</t>
  </si>
  <si>
    <t>Samsung Exynos 5 Octa 5420</t>
  </si>
  <si>
    <t>ARM Cortex-A15 MP4 1.9GHz
ARM Cortex-A7 MP4 1.3 GHz</t>
  </si>
  <si>
    <t>ARM Mali-T628 Hexa Core 695 MHz</t>
  </si>
  <si>
    <t>5.68"</t>
    <phoneticPr fontId="2" type="noConversion"/>
  </si>
  <si>
    <t>GD_A_026</t>
  </si>
  <si>
    <t>Galaxy S5</t>
  </si>
  <si>
    <t>SM-G900L</t>
  </si>
  <si>
    <t>Qualcomm Adreno 330 578 MHz</t>
  </si>
  <si>
    <t>GD_A_027</t>
  </si>
  <si>
    <t>Galaxy Note 5</t>
    <phoneticPr fontId="2" type="noConversion"/>
  </si>
  <si>
    <t>SM-N920K</t>
  </si>
  <si>
    <t>GD_A_028</t>
    <phoneticPr fontId="2" type="noConversion"/>
  </si>
  <si>
    <t>수리</t>
  </si>
  <si>
    <t>LG-F700L</t>
  </si>
  <si>
    <t>4.2</t>
  </si>
  <si>
    <t>배터리 부품</t>
    <phoneticPr fontId="2" type="noConversion"/>
  </si>
  <si>
    <t>GD_A_029</t>
  </si>
  <si>
    <t>SM-G930L</t>
  </si>
  <si>
    <t>GD_A_030</t>
    <phoneticPr fontId="2" type="noConversion"/>
  </si>
  <si>
    <t>Galaxy S9</t>
    <phoneticPr fontId="2" type="noConversion"/>
  </si>
  <si>
    <t>SM-G960N</t>
  </si>
  <si>
    <t>Samsung Exynos 9 Octa 9810</t>
  </si>
  <si>
    <t>Samsung Exynos M3 MP4 2.7 GHz
ARM Cortex-A55 MP4 1.79 GHz</t>
  </si>
  <si>
    <t>ARM Mali-G72 MP18 572 MHz</t>
  </si>
  <si>
    <t>LINE 앱 설치 유지
배터리 부품</t>
    <phoneticPr fontId="2" type="noConversion"/>
  </si>
  <si>
    <t>GD_A_031</t>
  </si>
  <si>
    <t>Galaxy Tab S3</t>
  </si>
  <si>
    <t>SM-T820</t>
  </si>
  <si>
    <t>4.2+LE</t>
    <phoneticPr fontId="2" type="noConversion"/>
  </si>
  <si>
    <t>9.7"</t>
    <phoneticPr fontId="2" type="noConversion"/>
  </si>
  <si>
    <t>2048 x 1536</t>
  </si>
  <si>
    <t>2018.12.01</t>
    <phoneticPr fontId="2" type="noConversion"/>
  </si>
  <si>
    <t>2023.09.14</t>
    <phoneticPr fontId="2" type="noConversion"/>
  </si>
  <si>
    <t>수리불가 -&gt; 폐기
(단종 모델로 부품 재고 없음)</t>
    <phoneticPr fontId="2" type="noConversion"/>
  </si>
  <si>
    <t>GD_A_032</t>
    <phoneticPr fontId="2" type="noConversion"/>
  </si>
  <si>
    <t>LG G7 ThinQ</t>
    <phoneticPr fontId="2" type="noConversion"/>
  </si>
  <si>
    <t>LM-G710N</t>
  </si>
  <si>
    <t>Qualcomm Snapdragon 845
SDM845</t>
    <phoneticPr fontId="2" type="noConversion"/>
  </si>
  <si>
    <t>Qualcomm Kryo 385 Gold MP4 2.8 GHz
Qualcomm Kryo 385 Silver MP4 1.7 GHz</t>
  </si>
  <si>
    <t>Qualcomm Adreno 630 710 MHz</t>
    <phoneticPr fontId="2" type="noConversion"/>
  </si>
  <si>
    <t>5.0+BLE</t>
  </si>
  <si>
    <t>6.1"</t>
    <phoneticPr fontId="2" type="noConversion"/>
  </si>
  <si>
    <t>3120 x 1440</t>
  </si>
  <si>
    <t>GD_A_033</t>
  </si>
  <si>
    <t>샤오미</t>
    <phoneticPr fontId="2" type="noConversion"/>
  </si>
  <si>
    <t>Redmi Note 6</t>
    <phoneticPr fontId="2" type="noConversion"/>
  </si>
  <si>
    <t>M1806E7TG</t>
  </si>
  <si>
    <t>Qualcomm Snapdragon 636
SDM636</t>
    <phoneticPr fontId="2" type="noConversion"/>
  </si>
  <si>
    <t>Qualcomm Kryo 260 MP8 1.8 GHz</t>
    <phoneticPr fontId="2" type="noConversion"/>
  </si>
  <si>
    <t>Qualcomm Adreno 509 720 MHz</t>
    <phoneticPr fontId="2" type="noConversion"/>
  </si>
  <si>
    <t>5.0+LE</t>
    <phoneticPr fontId="2" type="noConversion"/>
  </si>
  <si>
    <t>6.26"</t>
    <phoneticPr fontId="2" type="noConversion"/>
  </si>
  <si>
    <t>2280 x 1080</t>
  </si>
  <si>
    <t>2023.09.15</t>
    <phoneticPr fontId="2" type="noConversion"/>
  </si>
  <si>
    <t>수리 불가 및 배터리 부풀어 폐기</t>
    <phoneticPr fontId="2" type="noConversion"/>
  </si>
  <si>
    <t>GD_A_034</t>
    <phoneticPr fontId="2" type="noConversion"/>
  </si>
  <si>
    <t>POCO F1</t>
    <phoneticPr fontId="2" type="noConversion"/>
  </si>
  <si>
    <t>M1805E10A</t>
  </si>
  <si>
    <t>Qualcomm Snapdragon 845
SDM845</t>
  </si>
  <si>
    <t>Qualcomm Adreno 630 710 MHz</t>
  </si>
  <si>
    <t>6 GB</t>
  </si>
  <si>
    <t>6.18"</t>
    <phoneticPr fontId="2" type="noConversion"/>
  </si>
  <si>
    <t>2246 x 1080</t>
    <phoneticPr fontId="2" type="noConversion"/>
  </si>
  <si>
    <t>GD_A_035</t>
  </si>
  <si>
    <t>Xiaomi Mi Pad 4</t>
    <phoneticPr fontId="2" type="noConversion"/>
  </si>
  <si>
    <t>M1806D9W</t>
  </si>
  <si>
    <t>Qualcomm Snapdragon 660 AIE
SDM660</t>
    <phoneticPr fontId="2" type="noConversion"/>
  </si>
  <si>
    <t>Qualcomm Kryo 260 MP4 2.2 GHz
Qualcomm Kryo 260 MP4 1.8 GHz</t>
  </si>
  <si>
    <t>Qualcomm Adreno 512 650 Mhz</t>
    <phoneticPr fontId="2" type="noConversion"/>
  </si>
  <si>
    <t>8.0"</t>
    <phoneticPr fontId="2" type="noConversion"/>
  </si>
  <si>
    <t>1920 x 1200</t>
  </si>
  <si>
    <t>GD_A_036</t>
    <phoneticPr fontId="2" type="noConversion"/>
  </si>
  <si>
    <t>삼성</t>
    <phoneticPr fontId="2" type="noConversion"/>
  </si>
  <si>
    <t>Galaxy S10</t>
    <phoneticPr fontId="2" type="noConversion"/>
  </si>
  <si>
    <t>SM-G973N</t>
  </si>
  <si>
    <t>Samsung Exynos 9 Octa 9820</t>
  </si>
  <si>
    <t>Samsung Exynos M4 MP2 2.73 GHz
ARM Cortex-A75 MP2 2.31 GHz
ARM Cortex-A55 MP4 1.95 GHz</t>
  </si>
  <si>
    <t>ARM Mali-G76 MP12 702 MHz</t>
  </si>
  <si>
    <t>8 GB</t>
  </si>
  <si>
    <t>3040 x 1440</t>
  </si>
  <si>
    <t>GD_A_037</t>
    <phoneticPr fontId="2" type="noConversion"/>
  </si>
  <si>
    <t>Redmi Note 7</t>
    <phoneticPr fontId="2" type="noConversion"/>
  </si>
  <si>
    <t>M1901F7G</t>
  </si>
  <si>
    <t>Qualcomm Snapdragon 660
SDM660</t>
    <phoneticPr fontId="2" type="noConversion"/>
  </si>
  <si>
    <t>Qualcomm Kryo 260 MP4 2.2 GHz
Qualcomm Kryo 260 MP4 1.8 GHz</t>
    <phoneticPr fontId="2" type="noConversion"/>
  </si>
  <si>
    <t>6.3"</t>
    <phoneticPr fontId="2" type="noConversion"/>
  </si>
  <si>
    <t>2340 x 1080</t>
  </si>
  <si>
    <t>2019.09.26</t>
    <phoneticPr fontId="2" type="noConversion"/>
  </si>
  <si>
    <t>GD_A_038</t>
  </si>
  <si>
    <t>OPPO</t>
    <phoneticPr fontId="2" type="noConversion"/>
  </si>
  <si>
    <t>R17 Pro</t>
  </si>
  <si>
    <t>PBDM00</t>
  </si>
  <si>
    <t>Qualcomm Snapdragon 710
SDM710</t>
  </si>
  <si>
    <t>Qualcomm Kryo 360 Gold MP2 2.2 GHz
Qualcomm Kryo 360 Silver MP6 1.7 GHz</t>
  </si>
  <si>
    <t>Qualcomm Adreno 616 750 MHz</t>
  </si>
  <si>
    <t>6.4"</t>
  </si>
  <si>
    <t>GD_A_039</t>
    <phoneticPr fontId="2" type="noConversion"/>
  </si>
  <si>
    <t>Pixel 3a</t>
    <phoneticPr fontId="2" type="noConversion"/>
  </si>
  <si>
    <t>G020A</t>
  </si>
  <si>
    <t>Qualcomm Snapdragon 670
SDM670</t>
  </si>
  <si>
    <t>Qualcomm Kryo 360 Gold MP2 2 GHz
Qualcomm Kryo 360 Silver MP6 1.7 GHz</t>
  </si>
  <si>
    <t>Qualcomm Adreno 615 700 MHz</t>
  </si>
  <si>
    <t>5.6"</t>
    <phoneticPr fontId="2" type="noConversion"/>
  </si>
  <si>
    <t>2220 x 1080</t>
  </si>
  <si>
    <t>OS 최신으로 유지(beta)
배터리 부품</t>
    <phoneticPr fontId="2" type="noConversion"/>
  </si>
  <si>
    <t>GD_A_040</t>
    <phoneticPr fontId="2" type="noConversion"/>
  </si>
  <si>
    <t>Huawei</t>
    <phoneticPr fontId="2" type="noConversion"/>
  </si>
  <si>
    <t>Honor 9 Lite</t>
  </si>
  <si>
    <t>LLD-L21</t>
  </si>
  <si>
    <t>HiSilicon Kirin 659</t>
  </si>
  <si>
    <t>ARM Cortex-A53 MP4 2.36 GHz
ARM Cortex-A53 MP4 1.7 GHz</t>
  </si>
  <si>
    <t>ARM Mali-T830 MP2 900 MHz</t>
  </si>
  <si>
    <t>5.65”</t>
    <phoneticPr fontId="2" type="noConversion"/>
  </si>
  <si>
    <t>2160 x 1080</t>
  </si>
  <si>
    <t>GD_A_041</t>
  </si>
  <si>
    <t>Honor 10</t>
  </si>
  <si>
    <t>COL-L29</t>
  </si>
  <si>
    <t>Hisilicon Kirin 970</t>
  </si>
  <si>
    <t>ARM Cortex-A73 MP4 2.4 GHz
ARM Cortex-A53 MP4 1.8 GHz</t>
  </si>
  <si>
    <t>ARM Mali-G72 MP12 850 MHz</t>
  </si>
  <si>
    <t>5.84”</t>
    <phoneticPr fontId="2" type="noConversion"/>
  </si>
  <si>
    <t>2019-11-13</t>
    <phoneticPr fontId="2" type="noConversion"/>
  </si>
  <si>
    <t>LINE 앱 설치 유지</t>
    <phoneticPr fontId="2" type="noConversion"/>
  </si>
  <si>
    <t>GD_A_042</t>
    <phoneticPr fontId="2" type="noConversion"/>
  </si>
  <si>
    <t>Honor 8X</t>
    <phoneticPr fontId="2" type="noConversion"/>
  </si>
  <si>
    <t>JSN-L23</t>
  </si>
  <si>
    <t>Hisilicon Kirin 710</t>
  </si>
  <si>
    <t>ARM Cortex-A73 MP4 2.2 GHz
ARM Cortex-A53 MP4 1.7 GHz</t>
  </si>
  <si>
    <t>ARM Mali-G51 MP4 1 GHz</t>
  </si>
  <si>
    <t>6.5”</t>
    <phoneticPr fontId="2" type="noConversion"/>
  </si>
  <si>
    <t>2019-11-18</t>
    <phoneticPr fontId="2" type="noConversion"/>
  </si>
  <si>
    <t>GD_A_043</t>
    <phoneticPr fontId="2" type="noConversion"/>
  </si>
  <si>
    <t>Galaxy A90 5G</t>
    <phoneticPr fontId="2" type="noConversion"/>
  </si>
  <si>
    <t>SM-A908N</t>
  </si>
  <si>
    <t>Qualcomm Snapdragon 855
SM8150</t>
  </si>
  <si>
    <t>Qualcomm Kryo 485 MP1 2.84 GHz
Qualcomm Kryo 485 MP3 2.42 GHz
Qualcomm Kryo 485 MP4 1.78 GHz</t>
  </si>
  <si>
    <t>Qualcomm Adreno 640 585 MHz</t>
  </si>
  <si>
    <t>6.7"</t>
    <phoneticPr fontId="2" type="noConversion"/>
  </si>
  <si>
    <t>2400 x 1080</t>
  </si>
  <si>
    <t>2020-03-05</t>
    <phoneticPr fontId="2" type="noConversion"/>
  </si>
  <si>
    <t>OS 최신으로 유지
LINE 앱 설치 유지</t>
    <phoneticPr fontId="2" type="noConversion"/>
  </si>
  <si>
    <t>GD_A_044</t>
  </si>
  <si>
    <t>RAZER</t>
    <phoneticPr fontId="2" type="noConversion"/>
  </si>
  <si>
    <t>Razer 2</t>
    <phoneticPr fontId="2" type="noConversion"/>
  </si>
  <si>
    <t>phone 2</t>
  </si>
  <si>
    <t>GD_A_045</t>
  </si>
  <si>
    <t>LG G8 ThinQ</t>
    <phoneticPr fontId="2" type="noConversion"/>
  </si>
  <si>
    <t>LM-G820N</t>
  </si>
  <si>
    <t>GD_A_046</t>
    <phoneticPr fontId="2" type="noConversion"/>
  </si>
  <si>
    <t>LG V40 ThinQ</t>
    <phoneticPr fontId="2" type="noConversion"/>
  </si>
  <si>
    <t>LM-V409N</t>
  </si>
  <si>
    <t>6.4"</t>
    <phoneticPr fontId="2" type="noConversion"/>
  </si>
  <si>
    <t>GD_A_047</t>
  </si>
  <si>
    <t>Galaxy Note 9</t>
    <phoneticPr fontId="2" type="noConversion"/>
  </si>
  <si>
    <t>SM-N960U</t>
    <phoneticPr fontId="2" type="noConversion"/>
  </si>
  <si>
    <t>5.0</t>
    <phoneticPr fontId="2" type="noConversion"/>
  </si>
  <si>
    <t>2020-03-17</t>
    <phoneticPr fontId="2" type="noConversion"/>
  </si>
  <si>
    <t>글로벌 언락폰</t>
    <phoneticPr fontId="2" type="noConversion"/>
  </si>
  <si>
    <t>GD_A_048</t>
  </si>
  <si>
    <t>SM-N900K</t>
    <phoneticPr fontId="2" type="noConversion"/>
  </si>
  <si>
    <t>8.1.0</t>
    <phoneticPr fontId="2" type="noConversion"/>
  </si>
  <si>
    <t>GD_A_049</t>
  </si>
  <si>
    <t>Galaxy S20 5G</t>
    <phoneticPr fontId="2" type="noConversion"/>
  </si>
  <si>
    <t>SM-G981U</t>
    <phoneticPr fontId="2" type="noConversion"/>
  </si>
  <si>
    <t>Qualcomm Snapdragon 865
SM8250</t>
  </si>
  <si>
    <t>Qualcomm Kryo 585 Gold MP1 2.84 GHz
Qualcomm Kryo 585 Gold MP3 2.42 GHz
Qualcomm Kryo 585 Silver MP4 1.80 GHz</t>
  </si>
  <si>
    <t>Qualcomm Adreno 650 587 MHz</t>
  </si>
  <si>
    <t>12GB</t>
    <phoneticPr fontId="2" type="noConversion"/>
  </si>
  <si>
    <t>6.2"</t>
    <phoneticPr fontId="2" type="noConversion"/>
  </si>
  <si>
    <t>3200 x 1440</t>
  </si>
  <si>
    <t>GD_A_050</t>
    <phoneticPr fontId="2" type="noConversion"/>
  </si>
  <si>
    <t>Black Shark 2</t>
    <phoneticPr fontId="2" type="noConversion"/>
  </si>
  <si>
    <t>SKW-H0</t>
  </si>
  <si>
    <t>6.39”</t>
    <phoneticPr fontId="2" type="noConversion"/>
  </si>
  <si>
    <t>2020-03-30</t>
    <phoneticPr fontId="2" type="noConversion"/>
  </si>
  <si>
    <t>GD_A_051</t>
    <phoneticPr fontId="2" type="noConversion"/>
  </si>
  <si>
    <t>Galaxy Z Flip</t>
    <phoneticPr fontId="2" type="noConversion"/>
  </si>
  <si>
    <t>SM-F700N</t>
  </si>
  <si>
    <t>Qualcomm Snapdragon 855+
SM8150-AC</t>
  </si>
  <si>
    <t xml:space="preserve">Qualcomm Kryo 485 MP1 2.95 GHz
Qualcomm Kryo 485 MP3 2.41 GHz
Qualcomm Kryo 485 MP4 1.78 GHz </t>
  </si>
  <si>
    <t>Qualcomm Adreno 640 700 MHz</t>
  </si>
  <si>
    <t>2636 x 1080</t>
  </si>
  <si>
    <t>2020-07-16</t>
    <phoneticPr fontId="2" type="noConversion"/>
  </si>
  <si>
    <t>LTE
액정 수리 필요
디스플레이 화면 이상</t>
    <phoneticPr fontId="2" type="noConversion"/>
  </si>
  <si>
    <t>GD_A_052</t>
  </si>
  <si>
    <t>Galaxy Z Fold</t>
    <phoneticPr fontId="2" type="noConversion"/>
  </si>
  <si>
    <t>SM-F900N</t>
  </si>
  <si>
    <t>12 GB</t>
  </si>
  <si>
    <t>7.3"
4.35"</t>
    <phoneticPr fontId="2" type="noConversion"/>
  </si>
  <si>
    <t>2152 x 1536
1960 x 840</t>
    <phoneticPr fontId="2" type="noConversion"/>
  </si>
  <si>
    <t>배터리 충전 안됨
충전 단자 불량
무선 충전은 가능</t>
    <phoneticPr fontId="2" type="noConversion"/>
  </si>
  <si>
    <t>GD_A_053</t>
  </si>
  <si>
    <t>Galaxy Tab S6</t>
  </si>
  <si>
    <t>SM-T860</t>
  </si>
  <si>
    <t>10.5”</t>
    <phoneticPr fontId="2" type="noConversion"/>
  </si>
  <si>
    <t>2020-11-09</t>
    <phoneticPr fontId="2" type="noConversion"/>
  </si>
  <si>
    <t>폐기 필요 -&gt; 폐기
(보드 고장, 수리비 약 38만원)</t>
    <phoneticPr fontId="2" type="noConversion"/>
  </si>
  <si>
    <t>GD_A_054</t>
  </si>
  <si>
    <t>LG V50 ThinQ</t>
    <phoneticPr fontId="2" type="noConversion"/>
  </si>
  <si>
    <t>LM-V500N</t>
  </si>
  <si>
    <t>Qualcomm Snapdragon 855
SM8150</t>
    <phoneticPr fontId="2" type="noConversion"/>
  </si>
  <si>
    <t>Qualcomm Adreno 640 585 MHz</t>
    <phoneticPr fontId="2" type="noConversion"/>
  </si>
  <si>
    <t>2021-06-01</t>
    <phoneticPr fontId="2" type="noConversion"/>
  </si>
  <si>
    <t>GD_A_055</t>
  </si>
  <si>
    <t>LG WING</t>
    <phoneticPr fontId="2" type="noConversion"/>
  </si>
  <si>
    <t>LM-F100N</t>
  </si>
  <si>
    <t>Qualcomm Snapdragon 765G
SM7250-AB</t>
    <phoneticPr fontId="2" type="noConversion"/>
  </si>
  <si>
    <t xml:space="preserve">Qualcomm Kryo 475 Gold MP1 2.4 GHz
Qualcomm Kryo 475 Gold MP1 2.2 GHz 
Qualcomm Kryo 475 Silver MP6 1.8 GHz </t>
    <phoneticPr fontId="2" type="noConversion"/>
  </si>
  <si>
    <t>Qualcomm Adreno 620 625 MHz</t>
    <phoneticPr fontId="2" type="noConversion"/>
  </si>
  <si>
    <t>5.1</t>
  </si>
  <si>
    <t>6.8"</t>
    <phoneticPr fontId="2" type="noConversion"/>
  </si>
  <si>
    <t>2460 x 1080</t>
  </si>
  <si>
    <t>GD_A_056</t>
  </si>
  <si>
    <t>LG VELVET</t>
    <phoneticPr fontId="2" type="noConversion"/>
  </si>
  <si>
    <t>LM-G900N</t>
  </si>
  <si>
    <t>GD_A_057</t>
  </si>
  <si>
    <t>Galaxy S9+</t>
    <phoneticPr fontId="2" type="noConversion"/>
  </si>
  <si>
    <t>SM-G965N</t>
  </si>
  <si>
    <t>GD_A_058</t>
  </si>
  <si>
    <t>Galaxy S10e</t>
  </si>
  <si>
    <t>SM-G970N</t>
  </si>
  <si>
    <t>GD_A_059</t>
    <phoneticPr fontId="2" type="noConversion"/>
  </si>
  <si>
    <t>Galaxy S20 FE</t>
    <phoneticPr fontId="2" type="noConversion"/>
  </si>
  <si>
    <t>SM-G781</t>
  </si>
  <si>
    <t>6.5"</t>
    <phoneticPr fontId="2" type="noConversion"/>
  </si>
  <si>
    <t>OS 최신으로 유지</t>
    <phoneticPr fontId="2" type="noConversion"/>
  </si>
  <si>
    <t>GD_A_060</t>
    <phoneticPr fontId="2" type="noConversion"/>
  </si>
  <si>
    <t>Galaxy A52 5G</t>
  </si>
  <si>
    <t>SM-A525M</t>
  </si>
  <si>
    <t>Qualcomm Snapdragon 750G
SM7225</t>
  </si>
  <si>
    <t>Qualcomm Kryo 570 MP2 2.2 GHz
Qualcomm Kryo 570 MP6 1.8 GHz</t>
    <phoneticPr fontId="2" type="noConversion"/>
  </si>
  <si>
    <t>Qualcomm Adreno 619 800 MHz</t>
    <phoneticPr fontId="2" type="noConversion"/>
  </si>
  <si>
    <t>GD_A_061</t>
  </si>
  <si>
    <t>RedMi Note 9T</t>
    <phoneticPr fontId="2" type="noConversion"/>
  </si>
  <si>
    <t>M2007J22G</t>
  </si>
  <si>
    <t>MediaTek Dimensity 800U</t>
    <phoneticPr fontId="2" type="noConversion"/>
  </si>
  <si>
    <t>ARM Cortex-A76 MP2 2.4 GHz
ARM Cortex-A55 MP6 2.0 GHz</t>
    <phoneticPr fontId="2" type="noConversion"/>
  </si>
  <si>
    <t>ARM Mali-G57 MC3 950 MHz</t>
    <phoneticPr fontId="2" type="noConversion"/>
  </si>
  <si>
    <t>6.53"</t>
    <phoneticPr fontId="2" type="noConversion"/>
  </si>
  <si>
    <t>GD_A_062</t>
  </si>
  <si>
    <t>POCO X3 NFC</t>
    <phoneticPr fontId="2" type="noConversion"/>
  </si>
  <si>
    <t>M2007J20CG</t>
  </si>
  <si>
    <t>Qualcomm Snapdragon 732G
SM7150-AC</t>
    <phoneticPr fontId="2" type="noConversion"/>
  </si>
  <si>
    <t>Qualcomm Kryo 470 Gold MP2 2.4 GHz
Qualcomm Kryo 470 Silver MP 6 1.8 GHz</t>
    <phoneticPr fontId="2" type="noConversion"/>
  </si>
  <si>
    <t>Qualcomm Adreno 618 800 MHz</t>
    <phoneticPr fontId="2" type="noConversion"/>
  </si>
  <si>
    <t>6.67"</t>
    <phoneticPr fontId="2" type="noConversion"/>
  </si>
  <si>
    <t>GD_A_063</t>
    <phoneticPr fontId="2" type="noConversion"/>
  </si>
  <si>
    <t>Xiaomi Mi 10T 5G</t>
    <phoneticPr fontId="2" type="noConversion"/>
  </si>
  <si>
    <t>M2007J3SY</t>
  </si>
  <si>
    <t>Qualcomm Kryo 585 Gold MP1 2.84 GHz
Qualcomm Kryo 585 Gold MP3 2.42 GHz
Qualcomm Kryo 585 Silver MP4 1.80 GHz</t>
    <phoneticPr fontId="2" type="noConversion"/>
  </si>
  <si>
    <t>GD_A_064</t>
    <phoneticPr fontId="2" type="noConversion"/>
  </si>
  <si>
    <t>Pixel 4a</t>
    <phoneticPr fontId="2" type="noConversion"/>
  </si>
  <si>
    <t>G025J</t>
  </si>
  <si>
    <t>Qualcomm Snapdragon 730
SM7150-AB</t>
  </si>
  <si>
    <t>Qualcomm Kryo 470 Gold MP2 2.2 GHz
Qualcomm Kryo 470 Silver MP6 1.8 GHz</t>
  </si>
  <si>
    <t>Qualcomm Adreno 618 700 MHz</t>
  </si>
  <si>
    <t>5.81"</t>
    <phoneticPr fontId="2" type="noConversion"/>
  </si>
  <si>
    <t>GD_A_065</t>
    <phoneticPr fontId="2" type="noConversion"/>
  </si>
  <si>
    <t>Redmi Note 9</t>
    <phoneticPr fontId="2" type="noConversion"/>
  </si>
  <si>
    <t>M2003J15SG</t>
  </si>
  <si>
    <t>MediaTek Helio G85
MT6769Z</t>
    <phoneticPr fontId="2" type="noConversion"/>
  </si>
  <si>
    <t>ARM Cortex-A75 MP2 2.0 GHz
ARM Cortex-A55 MP6 1.8 GHz</t>
    <phoneticPr fontId="2" type="noConversion"/>
  </si>
  <si>
    <t>ARM Mali-G52 2EEMC2 1GHz</t>
    <phoneticPr fontId="2" type="noConversion"/>
  </si>
  <si>
    <t>GD_A_066</t>
  </si>
  <si>
    <t>Redmi Note 8</t>
    <phoneticPr fontId="2" type="noConversion"/>
  </si>
  <si>
    <t>M1908C3JG</t>
  </si>
  <si>
    <t>Qualcomm Snapdragon 665
SM6125</t>
  </si>
  <si>
    <t>Qualcomm Kryo 260 Gold MP4 2.0 GHz
Qualcomm Kryo 260 Silver MP4 1.8 GHz</t>
    <phoneticPr fontId="2" type="noConversion"/>
  </si>
  <si>
    <t>Qualcomm Adreno 610 950 MHz</t>
  </si>
  <si>
    <t>GD_A_067</t>
  </si>
  <si>
    <t>Sharp</t>
    <phoneticPr fontId="2" type="noConversion"/>
  </si>
  <si>
    <t>AQUOS Sense 3</t>
    <phoneticPr fontId="2" type="noConversion"/>
  </si>
  <si>
    <t>SH-02M</t>
  </si>
  <si>
    <t>Qualcomm Snapdragon 630
SDM630</t>
  </si>
  <si>
    <t>ARM Cortex-A53 MP4 2.2 GHz
ARM Cortex-A53 MP4 1.8 GHz</t>
    <phoneticPr fontId="2" type="noConversion"/>
  </si>
  <si>
    <t>Qualcomm Adreno 508 700 MHz</t>
  </si>
  <si>
    <t>2160 x 1080</t>
    <phoneticPr fontId="2" type="noConversion"/>
  </si>
  <si>
    <t>GD_A_068</t>
  </si>
  <si>
    <t>SONY</t>
    <phoneticPr fontId="2" type="noConversion"/>
  </si>
  <si>
    <t>Xperia ACE</t>
    <phoneticPr fontId="2" type="noConversion"/>
  </si>
  <si>
    <t>J3173</t>
  </si>
  <si>
    <t>Qualcomm Snapdragon 630
SDM630</t>
    <phoneticPr fontId="2" type="noConversion"/>
  </si>
  <si>
    <t>ARM Cortex-A53 MP4 2.2 GHz
ARM Cortex-A53 MP4 1.8 GHz</t>
  </si>
  <si>
    <t>1600 x 700</t>
    <phoneticPr fontId="2" type="noConversion"/>
  </si>
  <si>
    <t>GD_A_069</t>
  </si>
  <si>
    <t>Xperia XZ2</t>
    <phoneticPr fontId="2" type="noConversion"/>
  </si>
  <si>
    <t>H8216</t>
  </si>
  <si>
    <t>GD_A_070</t>
  </si>
  <si>
    <t>Fujitsu</t>
    <phoneticPr fontId="2" type="noConversion"/>
  </si>
  <si>
    <t>Arrows U</t>
    <phoneticPr fontId="2" type="noConversion"/>
  </si>
  <si>
    <t>801FJ</t>
  </si>
  <si>
    <t>Qualcomm Snapdragon 450
SDM450</t>
  </si>
  <si>
    <t>ARM Cortex-A53 MP8 1800MHz</t>
  </si>
  <si>
    <t>Qualcomm Adreno 506 600 MHz</t>
  </si>
  <si>
    <t>GD_A_071</t>
    <phoneticPr fontId="2" type="noConversion"/>
  </si>
  <si>
    <t>Y9 (2019)</t>
    <phoneticPr fontId="2" type="noConversion"/>
  </si>
  <si>
    <t>JKM-LX3</t>
  </si>
  <si>
    <t>HiSilicon Kirin 710</t>
    <phoneticPr fontId="2" type="noConversion"/>
  </si>
  <si>
    <t>ARM Cortex-A73 MP4 2.2 GHz
ARM Cortex-A53 MP4 1.7 GHz</t>
    <phoneticPr fontId="2" type="noConversion"/>
  </si>
  <si>
    <t>ARM Mali-G51 MP4 1 GHz</t>
    <phoneticPr fontId="2" type="noConversion"/>
  </si>
  <si>
    <t>GD_A_072</t>
  </si>
  <si>
    <t>AQUOS Sense</t>
    <phoneticPr fontId="2" type="noConversion"/>
  </si>
  <si>
    <t>SH-01K</t>
  </si>
  <si>
    <t>Qualcomm Snapdragon 430
MSM8937</t>
  </si>
  <si>
    <t>ARM Cortex-A53 MP4 1.4 GHz
ARM Cortex-A53 MP4 1.61 GHz</t>
    <phoneticPr fontId="2" type="noConversion"/>
  </si>
  <si>
    <t>Qualcomm Adreno 505 450 MHz</t>
    <phoneticPr fontId="2" type="noConversion"/>
  </si>
  <si>
    <t>7.1.2</t>
  </si>
  <si>
    <t>GD_A_073</t>
  </si>
  <si>
    <t>AQUOS R2</t>
    <phoneticPr fontId="2" type="noConversion"/>
  </si>
  <si>
    <t>SH-03K</t>
  </si>
  <si>
    <t>6.0"</t>
    <phoneticPr fontId="2" type="noConversion"/>
  </si>
  <si>
    <t>GD_A_074</t>
  </si>
  <si>
    <t>Phone</t>
  </si>
  <si>
    <t>Galaxy A53 5G</t>
    <phoneticPr fontId="2" type="noConversion"/>
  </si>
  <si>
    <t>SM-A536N</t>
    <phoneticPr fontId="2" type="noConversion"/>
  </si>
  <si>
    <t>Exynos 1280</t>
  </si>
  <si>
    <t>ARM Cortex-A78 MP2 2.4 GHz CPU
ARM Cortex-A55 MP6 2.0 GHz CPU</t>
  </si>
  <si>
    <t>ARM Mali-G68</t>
    <phoneticPr fontId="2" type="noConversion"/>
  </si>
  <si>
    <t>6.5"</t>
  </si>
  <si>
    <t>2400 x 1080</t>
    <phoneticPr fontId="2" type="noConversion"/>
  </si>
  <si>
    <t>2022-11-01</t>
    <phoneticPr fontId="2" type="noConversion"/>
  </si>
  <si>
    <t>GD_A_075</t>
  </si>
  <si>
    <t>Galaxy S22 5G</t>
    <phoneticPr fontId="2" type="noConversion"/>
  </si>
  <si>
    <t>SM-S901N</t>
    <phoneticPr fontId="2" type="noConversion"/>
  </si>
  <si>
    <t>Qualcomm Snapdragon 8 Gen 1
SM8450</t>
    <phoneticPr fontId="2" type="noConversion"/>
  </si>
  <si>
    <t>ARM Cortex-X2 MP1 3 GHz
ARM Cortex-A710 MP3 2.5 GHz
ARM Cortex-A510 MP4 1.79 GHz CPU</t>
  </si>
  <si>
    <t>Qualcomm Adreno 730 818 MHz</t>
    <phoneticPr fontId="2" type="noConversion"/>
  </si>
  <si>
    <t>6.1"</t>
  </si>
  <si>
    <t>2340 x 1080</t>
    <phoneticPr fontId="2" type="noConversion"/>
  </si>
  <si>
    <t>GD_A_076</t>
  </si>
  <si>
    <t>Galaxy Note 20</t>
    <phoneticPr fontId="2" type="noConversion"/>
  </si>
  <si>
    <t>SM-N981N</t>
    <phoneticPr fontId="2" type="noConversion"/>
  </si>
  <si>
    <t>Qualcomm Snapdragon 865+
SM8250-AB</t>
    <phoneticPr fontId="2" type="noConversion"/>
  </si>
  <si>
    <t>Qualcomm Kryo 585 Gold MP1 3.09 GHz
Qualcomm Kryo 585 Gold MP3 2.42 GHz
Qualcomm Kryo 585 Silver MP4 1.80 GHz</t>
    <phoneticPr fontId="2" type="noConversion"/>
  </si>
  <si>
    <t>Qualcomm Adreno 650 670 MHz</t>
    <phoneticPr fontId="2" type="noConversion"/>
  </si>
  <si>
    <t>8 GB</t>
    <phoneticPr fontId="2" type="noConversion"/>
  </si>
  <si>
    <t>6.7"</t>
  </si>
  <si>
    <t>GD_A_077</t>
    <phoneticPr fontId="2" type="noConversion"/>
  </si>
  <si>
    <t>Galaxy S21 5G</t>
    <phoneticPr fontId="2" type="noConversion"/>
  </si>
  <si>
    <t>SM-G991N</t>
    <phoneticPr fontId="2" type="noConversion"/>
  </si>
  <si>
    <t>Samsung Exynos 2100</t>
  </si>
  <si>
    <t>ARM Cortex-X1 MP1 2.91 GHz
ARM Cortex-A78 MP3 2.81 GHz
ARM Cortex-A55 MP4 2.21 GHz</t>
  </si>
  <si>
    <t>ARM Mali-G78 MP14 858 MHz</t>
  </si>
  <si>
    <t>6.2"</t>
  </si>
  <si>
    <t>GD_A_078</t>
  </si>
  <si>
    <t>Galaxy A32 5G</t>
    <phoneticPr fontId="2" type="noConversion"/>
  </si>
  <si>
    <t>SM-A326K</t>
    <phoneticPr fontId="2" type="noConversion"/>
  </si>
  <si>
    <t>MediaTek Dimensity 720
MT6853V</t>
  </si>
  <si>
    <t>ARM Cortex-A76 MP2 2 GHz
ARM Cortex-A55 MP6 2 GHz</t>
  </si>
  <si>
    <t>ARM Mali-G57 MC3</t>
  </si>
  <si>
    <t>1600 x 720</t>
    <phoneticPr fontId="2" type="noConversion"/>
  </si>
  <si>
    <t>GD_A_079</t>
  </si>
  <si>
    <t>Galaxy Note 10+</t>
    <phoneticPr fontId="2" type="noConversion"/>
  </si>
  <si>
    <t>SM-N976N</t>
    <phoneticPr fontId="2" type="noConversion"/>
  </si>
  <si>
    <t>Samsung Exynos 9 Octa 9825</t>
  </si>
  <si>
    <t>Samsung Exynos M4 MP2 2.73 GHz
 ARM Cortex-A75 MP2 2.40 GHz
ARM Cortex-A55 MP4 1.95 GHz</t>
  </si>
  <si>
    <t>ARM Mali-G76 MP12 754 MHz</t>
  </si>
  <si>
    <t>6.8"</t>
  </si>
  <si>
    <t>3040 x 1440</t>
    <phoneticPr fontId="2" type="noConversion"/>
  </si>
  <si>
    <t>GD_A_080</t>
    <phoneticPr fontId="2" type="noConversion"/>
  </si>
  <si>
    <t>Google</t>
  </si>
  <si>
    <t>Pixel 6a</t>
    <phoneticPr fontId="2" type="noConversion"/>
  </si>
  <si>
    <t>GX7AS</t>
    <phoneticPr fontId="2" type="noConversion"/>
  </si>
  <si>
    <t>Google Tensor</t>
  </si>
  <si>
    <t>ARM Cortex-X1 MP2 2.80 GHz
ARM Cortex-A76 MP2 2.25 GHz
ARM Cortex-A55 MP4 1.80 GHz</t>
  </si>
  <si>
    <t>ARM Mali-G78 MP20 848 MHz</t>
  </si>
  <si>
    <t>2022-11-02</t>
    <phoneticPr fontId="2" type="noConversion"/>
  </si>
  <si>
    <t>OS 최신으로 유지(beta)</t>
    <phoneticPr fontId="2" type="noConversion"/>
  </si>
  <si>
    <t>GD_A_081</t>
  </si>
  <si>
    <t>샤오미</t>
  </si>
  <si>
    <t>Xiaomi 12 Lite</t>
    <phoneticPr fontId="2" type="noConversion"/>
  </si>
  <si>
    <t>2203129G</t>
    <phoneticPr fontId="2" type="noConversion"/>
  </si>
  <si>
    <t>Qualcomm Snapdragon 778G
SM7325</t>
  </si>
  <si>
    <t>Qualcomm Kryo 670 Gold MP1 2.4 GHz
Qualcomm Kryo 670 Gold MP3 2.4 GHz
Qualcomm Kryo 670 Silver MP4 1.8 GHz</t>
  </si>
  <si>
    <t>Qualcomm Adreno 642L 550 MHz</t>
  </si>
  <si>
    <t>6.55"</t>
  </si>
  <si>
    <t>GD_A_082</t>
  </si>
  <si>
    <t>Galaxy S20 Ultra 5G</t>
    <phoneticPr fontId="2" type="noConversion"/>
  </si>
  <si>
    <t>SM-N976</t>
    <phoneticPr fontId="2" type="noConversion"/>
  </si>
  <si>
    <t>6.9"</t>
  </si>
  <si>
    <t>3200 x 1440</t>
    <phoneticPr fontId="2" type="noConversion"/>
  </si>
  <si>
    <t>GD_A_083</t>
  </si>
  <si>
    <t>Galaxy S20+ 5G</t>
    <phoneticPr fontId="2" type="noConversion"/>
  </si>
  <si>
    <t>SM-G986N</t>
    <phoneticPr fontId="2" type="noConversion"/>
  </si>
  <si>
    <t>12 GB</t>
    <phoneticPr fontId="2" type="noConversion"/>
  </si>
  <si>
    <t>GD_A_084</t>
    <phoneticPr fontId="2" type="noConversion"/>
  </si>
  <si>
    <t>Galaxy S20</t>
    <phoneticPr fontId="2" type="noConversion"/>
  </si>
  <si>
    <t>SM-G980</t>
    <phoneticPr fontId="2" type="noConversion"/>
  </si>
  <si>
    <t>GD_A_085</t>
  </si>
  <si>
    <t>Galaxy Tab S7+</t>
    <phoneticPr fontId="2" type="noConversion"/>
  </si>
  <si>
    <t>SM-T975N</t>
    <phoneticPr fontId="2" type="noConversion"/>
  </si>
  <si>
    <t>6 GB</t>
    <phoneticPr fontId="2" type="noConversion"/>
  </si>
  <si>
    <t>12.4"</t>
  </si>
  <si>
    <t>2800 x 1752</t>
    <phoneticPr fontId="2" type="noConversion"/>
  </si>
  <si>
    <t>GD_A_086</t>
  </si>
  <si>
    <t>Galaxy M53</t>
    <phoneticPr fontId="2" type="noConversion"/>
  </si>
  <si>
    <t>SM-M536S</t>
    <phoneticPr fontId="2" type="noConversion"/>
  </si>
  <si>
    <t>MediaTek Dimensity 900
MT6877</t>
  </si>
  <si>
    <t>ARM Cortex-A78 MP2 2.4 GHz
ARM Cortex-A55 MP6 2 GHz</t>
  </si>
  <si>
    <t>ARM Mali-G68 MP4 900 MHz</t>
    <phoneticPr fontId="2" type="noConversion"/>
  </si>
  <si>
    <t>2408 x 1080</t>
    <phoneticPr fontId="2" type="noConversion"/>
  </si>
  <si>
    <t>GD_A_087</t>
  </si>
  <si>
    <t>Galaxy A42 5G</t>
    <phoneticPr fontId="2" type="noConversion"/>
  </si>
  <si>
    <t>SM-A426N</t>
    <phoneticPr fontId="2" type="noConversion"/>
  </si>
  <si>
    <t>Qualcomm Snapdragon 750G
SM7225</t>
    <phoneticPr fontId="2" type="noConversion"/>
  </si>
  <si>
    <t>Qualcomm Kryo 570 Gold MP2 2.2 GHz
Qualcomm Kryo 570 Silver MP6 1.8 GHz</t>
    <phoneticPr fontId="2" type="noConversion"/>
  </si>
  <si>
    <t>Adreno 619 800 MHz</t>
    <phoneticPr fontId="2" type="noConversion"/>
  </si>
  <si>
    <t>6.6"</t>
  </si>
  <si>
    <t>GD_A_088</t>
  </si>
  <si>
    <t>SONY</t>
  </si>
  <si>
    <t>Xperia Ace II</t>
    <phoneticPr fontId="2" type="noConversion"/>
  </si>
  <si>
    <t>SO-41B</t>
    <phoneticPr fontId="2" type="noConversion"/>
  </si>
  <si>
    <t xml:space="preserve"> Mediatek Helio P35
MT6765</t>
  </si>
  <si>
    <t>ARM Cortex-A53 MP4 2.3 GHz
ARM Cortex-A53 MP4 1.8 GHz</t>
  </si>
  <si>
    <t>IMG PowerVR GE8320 680 MHz</t>
  </si>
  <si>
    <t>2022-11-08</t>
    <phoneticPr fontId="2" type="noConversion"/>
  </si>
  <si>
    <t>GD_A_089</t>
  </si>
  <si>
    <t>Pixel 7</t>
    <phoneticPr fontId="2" type="noConversion"/>
  </si>
  <si>
    <t>GO3Z5</t>
    <phoneticPr fontId="2" type="noConversion"/>
  </si>
  <si>
    <t>Google Tensor G2 SoC</t>
    <phoneticPr fontId="2" type="noConversion"/>
  </si>
  <si>
    <t>ARM Cortex-X1 MP2 2.85 GHz
+ ARM Cortex-A78 MP2 2.35 GHz
+ ARM Cortex-A55 MP4 1.80 GHz</t>
    <phoneticPr fontId="2" type="noConversion"/>
  </si>
  <si>
    <t>ARM Mali-G710 MP7</t>
    <phoneticPr fontId="2" type="noConversion"/>
  </si>
  <si>
    <t>2023-09-26</t>
    <phoneticPr fontId="2" type="noConversion"/>
  </si>
  <si>
    <t>GD_A_090</t>
  </si>
  <si>
    <t>Galaxy S21+</t>
    <phoneticPr fontId="2" type="noConversion"/>
  </si>
  <si>
    <t>SM-G996N</t>
    <phoneticPr fontId="2" type="noConversion"/>
  </si>
  <si>
    <t>ARM Cortex-X1 MP1 2.91 GHz
ARM Cortex-A78MP3 2.81 GHz
ARM Cortex-A55 MP4 2.21 GHz</t>
  </si>
  <si>
    <t>GD_A_091</t>
  </si>
  <si>
    <t>Galaxy Tab S8</t>
    <phoneticPr fontId="2" type="noConversion"/>
  </si>
  <si>
    <t>SM-X700</t>
    <phoneticPr fontId="2" type="noConversion"/>
  </si>
  <si>
    <t>Qualcomm Snapdragon 8 Gen 1
SM8450</t>
  </si>
  <si>
    <t>Qualcomm Adreno 730 818 MHz</t>
  </si>
  <si>
    <t>11"</t>
    <phoneticPr fontId="2" type="noConversion"/>
  </si>
  <si>
    <t>2560 x 1500</t>
    <phoneticPr fontId="2" type="noConversion"/>
  </si>
  <si>
    <t>2023-10-11</t>
    <phoneticPr fontId="2" type="noConversion"/>
  </si>
  <si>
    <t>GD_A_092</t>
    <phoneticPr fontId="2" type="noConversion"/>
  </si>
  <si>
    <t>POCO X6 Pro</t>
    <phoneticPr fontId="2" type="noConversion"/>
  </si>
  <si>
    <t>2311DRK48G</t>
    <phoneticPr fontId="2" type="noConversion"/>
  </si>
  <si>
    <t>MediaTek Dimensity 8300 Ultra</t>
  </si>
  <si>
    <t>ARM Cortex-A715 MP4 3.35 GHz
ARM Cortex-A510 MP4 2.2 GHZ</t>
  </si>
  <si>
    <t>ARM Mali-G615 MC6</t>
    <phoneticPr fontId="2" type="noConversion"/>
  </si>
  <si>
    <t>2712 x 1220</t>
    <phoneticPr fontId="2" type="noConversion"/>
  </si>
  <si>
    <t>2024-08-28</t>
    <phoneticPr fontId="2" type="noConversion"/>
  </si>
  <si>
    <t>GD_A_093</t>
    <phoneticPr fontId="2" type="noConversion"/>
  </si>
  <si>
    <t>Redmi Note 13 Pro</t>
    <phoneticPr fontId="2" type="noConversion"/>
  </si>
  <si>
    <t>2312DRA50G</t>
    <phoneticPr fontId="2" type="noConversion"/>
  </si>
  <si>
    <t>Qualcomm Snapdragon 7s Gen 2
SM7435-AB</t>
  </si>
  <si>
    <t>ARM Cortex-A78 MP4 2.40 GHz
ARM Cortex-A55 MP4 1.95 GHz</t>
  </si>
  <si>
    <t>Qualcomm Adreno 710</t>
  </si>
  <si>
    <t>GD_A_094</t>
    <phoneticPr fontId="2" type="noConversion"/>
  </si>
  <si>
    <t>Galaxy A55</t>
    <phoneticPr fontId="2" type="noConversion"/>
  </si>
  <si>
    <t>SM-A556E/DS</t>
    <phoneticPr fontId="2" type="noConversion"/>
  </si>
  <si>
    <t>Samsung Exynos 1480</t>
  </si>
  <si>
    <t>ARM Cortex-A78 MP4 2.75 GHz
ARM Cortex-A55 MP4 2.00 GHz</t>
  </si>
  <si>
    <t>삼성 Xclipse 530 1.3 GHz</t>
  </si>
  <si>
    <t>6.6"</t>
    <phoneticPr fontId="2" type="noConversion"/>
  </si>
  <si>
    <t>2024-08-29</t>
    <phoneticPr fontId="2" type="noConversion"/>
  </si>
  <si>
    <t>GD_A_095</t>
    <phoneticPr fontId="2" type="noConversion"/>
  </si>
  <si>
    <t>Pixel 8a</t>
    <phoneticPr fontId="2" type="noConversion"/>
  </si>
  <si>
    <t>Google Tensor G3</t>
  </si>
  <si>
    <t>ARM Cortex-X3 MP1 2.91 GHz
ARM Cortex-A715 MP4 2.37 GHz
ARM Cortex-A510R MP4 1.70 GHz</t>
  </si>
  <si>
    <t>ARM Mali-G715 MP7 890 MHz</t>
  </si>
  <si>
    <t>GD_A_096</t>
    <phoneticPr fontId="2" type="noConversion"/>
  </si>
  <si>
    <t>2024-09-02</t>
    <phoneticPr fontId="2" type="noConversion"/>
  </si>
  <si>
    <t>디바이스 대여 CCTV 사용 중</t>
    <phoneticPr fontId="2" type="noConversion"/>
  </si>
  <si>
    <t>GD_A_097</t>
    <phoneticPr fontId="2" type="noConversion"/>
  </si>
  <si>
    <t>GD_A_098</t>
    <phoneticPr fontId="2" type="noConversion"/>
  </si>
  <si>
    <t>2024-09-04</t>
    <phoneticPr fontId="2" type="noConversion"/>
  </si>
  <si>
    <t>GD_A_099</t>
    <phoneticPr fontId="2" type="noConversion"/>
  </si>
  <si>
    <t>Galaxy A54</t>
    <phoneticPr fontId="2" type="noConversion"/>
  </si>
  <si>
    <t>SM-A5460</t>
    <phoneticPr fontId="2" type="noConversion"/>
  </si>
  <si>
    <t>Samsung Exynos 1380</t>
  </si>
  <si>
    <t>ARM Cortex-A78 MP4 2.4 GHz 
ARM Cortex-A55 MP4 2 GHz</t>
  </si>
  <si>
    <t>ARM Mali-G68 MP5 950 MHz</t>
  </si>
  <si>
    <t>GD_A_100</t>
  </si>
  <si>
    <t>Galaxy S22+</t>
    <phoneticPr fontId="2" type="noConversion"/>
  </si>
  <si>
    <t>SM-S906N</t>
    <phoneticPr fontId="2" type="noConversion"/>
  </si>
  <si>
    <t>GD_A_101</t>
  </si>
  <si>
    <t>Galaxy S23</t>
    <phoneticPr fontId="2" type="noConversion"/>
  </si>
  <si>
    <t>SM-S911N</t>
    <phoneticPr fontId="2" type="noConversion"/>
  </si>
  <si>
    <t xml:space="preserve">Qualcomm Snapdragon 8 Gen 2
SM8550-AC </t>
  </si>
  <si>
    <t>Qualcomm Kryo Prime MP1 3.36 GHz
Qualcomm Kryo Gold[A715] MP2 2.80 GHz
Qualcomm Kryo Gold[A710] MP2 2.80 GHz
Qualcomm Kryo Silver MP3 2.02 GHz</t>
  </si>
  <si>
    <t>Qualcomm Adreno 740 719 MHz</t>
  </si>
  <si>
    <t>GD_A_102</t>
  </si>
  <si>
    <t>Galaxy S24</t>
    <phoneticPr fontId="2" type="noConversion"/>
  </si>
  <si>
    <t>SM-S921N</t>
    <phoneticPr fontId="2" type="noConversion"/>
  </si>
  <si>
    <t>Samsung Exynos 2400</t>
  </si>
  <si>
    <t>ARM Cortex-X4 MP1 3.21 GHz
ARM Cortex-A720 MP2 2.90 GHz
ARM Cortex-A720 MP3 2.59 GHz
ARM Cortex-A520 MP4 1.96 GHz</t>
  </si>
  <si>
    <t>삼성 Xclipse 940 1.11 GHz</t>
  </si>
  <si>
    <t>GD_A_103</t>
  </si>
  <si>
    <t>Galaxy Z Flip5</t>
    <phoneticPr fontId="2" type="noConversion"/>
  </si>
  <si>
    <t>SM-F731N</t>
    <phoneticPr fontId="2" type="noConversion"/>
  </si>
  <si>
    <t>6.7"
3.4"</t>
    <phoneticPr fontId="2" type="noConversion"/>
  </si>
  <si>
    <t>2640 x 1080
720 x 748</t>
    <phoneticPr fontId="2" type="noConversion"/>
  </si>
  <si>
    <t>GD_A_104</t>
  </si>
  <si>
    <t>Galaxy Z Fold5</t>
    <phoneticPr fontId="2" type="noConversion"/>
  </si>
  <si>
    <t>SM-F946N</t>
    <phoneticPr fontId="2" type="noConversion"/>
  </si>
  <si>
    <t>7.6"
6.2"</t>
    <phoneticPr fontId="2" type="noConversion"/>
  </si>
  <si>
    <t>2176 x 1812
2316 x 904</t>
    <phoneticPr fontId="2" type="noConversion"/>
  </si>
  <si>
    <t>메인 액정에 2mm 정도의 두께로 흰색 선 생김 (깨짐)</t>
    <phoneticPr fontId="2" type="noConversion"/>
  </si>
  <si>
    <t>GD_i_001</t>
    <phoneticPr fontId="2" type="noConversion"/>
  </si>
  <si>
    <t>Apple</t>
  </si>
  <si>
    <t>iPhone 4S</t>
    <phoneticPr fontId="2" type="noConversion"/>
  </si>
  <si>
    <t>MD261KH/A
A1431</t>
    <phoneticPr fontId="2" type="noConversion"/>
  </si>
  <si>
    <t>Apple A5
S5L8940-APL0498</t>
    <phoneticPr fontId="2" type="noConversion"/>
  </si>
  <si>
    <t>ARM Cortex-A9 MP2 800 MHz</t>
    <phoneticPr fontId="2" type="noConversion"/>
  </si>
  <si>
    <t>IT PowerVR SGX543 MP2 266 MHz</t>
    <phoneticPr fontId="2" type="noConversion"/>
  </si>
  <si>
    <t>512 MB</t>
  </si>
  <si>
    <t>3.5"</t>
    <phoneticPr fontId="2" type="noConversion"/>
  </si>
  <si>
    <t>960 x 640</t>
  </si>
  <si>
    <t>PC 연결 불가하여 UDID 확인 불가</t>
    <phoneticPr fontId="2" type="noConversion"/>
  </si>
  <si>
    <t>GD_i_002</t>
    <phoneticPr fontId="2" type="noConversion"/>
  </si>
  <si>
    <t>대여</t>
  </si>
  <si>
    <t>iPhone 5</t>
  </si>
  <si>
    <t>ND300KH/A</t>
  </si>
  <si>
    <t>Apple A6
S5L8950-APL0598</t>
    <phoneticPr fontId="2" type="noConversion"/>
  </si>
  <si>
    <t>Apple Swift MP2 1.3 GHz</t>
    <phoneticPr fontId="2" type="noConversion"/>
  </si>
  <si>
    <t>IT PowerVR SGX543 MP3 350 MHz</t>
    <phoneticPr fontId="2" type="noConversion"/>
  </si>
  <si>
    <t>4"</t>
    <phoneticPr fontId="2" type="noConversion"/>
  </si>
  <si>
    <t>1136 x 640</t>
  </si>
  <si>
    <t>10.3.2</t>
  </si>
  <si>
    <t>B3B9E016F8BD96802980EB2C189D074FE2BBB68E</t>
  </si>
  <si>
    <t>GD_i_003</t>
  </si>
  <si>
    <t>iPhone 5s</t>
  </si>
  <si>
    <t>MF353KH/A
A1533</t>
    <phoneticPr fontId="2" type="noConversion"/>
  </si>
  <si>
    <t>Apple A7
S5L8960-APL0698</t>
    <phoneticPr fontId="2" type="noConversion"/>
  </si>
  <si>
    <t>Apple Cyclone MP2 1.3 GHz</t>
    <phoneticPr fontId="2" type="noConversion"/>
  </si>
  <si>
    <t>IT PowerVR G6430 375MHz</t>
    <phoneticPr fontId="2" type="noConversion"/>
  </si>
  <si>
    <t>10.0.2</t>
  </si>
  <si>
    <t>4D780FA56B28EFCBA8D5C3A33149E57184F9EAD8</t>
  </si>
  <si>
    <t>GD_i_004</t>
  </si>
  <si>
    <t>iPad Mini 2</t>
  </si>
  <si>
    <t>ME276KH/A
A1489</t>
    <phoneticPr fontId="2" type="noConversion"/>
  </si>
  <si>
    <t>7.9"</t>
    <phoneticPr fontId="2" type="noConversion"/>
  </si>
  <si>
    <t>11.0.1</t>
  </si>
  <si>
    <t>C6ACFBB422604B2907BEDBA190B3EC1CE4E55633</t>
  </si>
  <si>
    <t>GD_i_005</t>
  </si>
  <si>
    <t>iPhone 6</t>
    <phoneticPr fontId="2" type="noConversion"/>
  </si>
  <si>
    <t xml:space="preserve">MG482KH/A
</t>
    <phoneticPr fontId="2" type="noConversion"/>
  </si>
  <si>
    <t>Apple A8
APL1011</t>
    <phoneticPr fontId="2" type="noConversion"/>
  </si>
  <si>
    <t>Apple Typhoon MP2 1.4 GHz</t>
    <phoneticPr fontId="2" type="noConversion"/>
  </si>
  <si>
    <t>IT  PowerVR GX6450 430 MHz</t>
    <phoneticPr fontId="2" type="noConversion"/>
  </si>
  <si>
    <t>4.7"</t>
    <phoneticPr fontId="2" type="noConversion"/>
  </si>
  <si>
    <t>1334 x 750</t>
  </si>
  <si>
    <t>10.2.1</t>
    <phoneticPr fontId="2" type="noConversion"/>
  </si>
  <si>
    <t>충전되지 않음</t>
    <phoneticPr fontId="2" type="noConversion"/>
  </si>
  <si>
    <t>22BE061D3B64DE1CB06B2C6594DCEB06CC28D331</t>
  </si>
  <si>
    <t>GD_i_006</t>
  </si>
  <si>
    <t>iPhone 6</t>
  </si>
  <si>
    <t xml:space="preserve">MG4J2KH/A
</t>
    <phoneticPr fontId="2" type="noConversion"/>
  </si>
  <si>
    <t>11.2.6</t>
  </si>
  <si>
    <t>D07CFFD270C9341B446529CF8953F535F957565F</t>
  </si>
  <si>
    <t>GD_i_007</t>
  </si>
  <si>
    <t>iPhone 6+</t>
    <phoneticPr fontId="2" type="noConversion"/>
  </si>
  <si>
    <t>MGAJ2KH/A
A1634</t>
    <phoneticPr fontId="2" type="noConversion"/>
  </si>
  <si>
    <t>12.5.5</t>
  </si>
  <si>
    <t>CC6C23B5C744271B8C606712A09D581207D6FD55</t>
  </si>
  <si>
    <t>GD_i_008</t>
    <phoneticPr fontId="2" type="noConversion"/>
  </si>
  <si>
    <t>iPad Air 2</t>
    <phoneticPr fontId="2" type="noConversion"/>
  </si>
  <si>
    <t>MH172KH/A
A1567</t>
    <phoneticPr fontId="2" type="noConversion"/>
  </si>
  <si>
    <t>Apple A8X
APL1012</t>
    <phoneticPr fontId="2" type="noConversion"/>
  </si>
  <si>
    <t>Apple Typhoon MP3 1.5 GHz</t>
  </si>
  <si>
    <t>IT PowerVR GX6850 475 MHz</t>
    <phoneticPr fontId="2" type="noConversion"/>
  </si>
  <si>
    <t>15.7.1</t>
    <phoneticPr fontId="2" type="noConversion"/>
  </si>
  <si>
    <t>E426E5D1C934077371379288E2438C7E7A30E66B</t>
  </si>
  <si>
    <t>GD_i_009</t>
  </si>
  <si>
    <t>iPhone 6S</t>
    <phoneticPr fontId="2" type="noConversion"/>
  </si>
  <si>
    <t>MKQR2KH/A</t>
    <phoneticPr fontId="2" type="noConversion"/>
  </si>
  <si>
    <t>Apple A9
APL0898</t>
    <phoneticPr fontId="2" type="noConversion"/>
  </si>
  <si>
    <t>Apple Twister MP2 840 Mhz</t>
    <phoneticPr fontId="2" type="noConversion"/>
  </si>
  <si>
    <t>IT PowerVR GT7600 600 MHz</t>
    <phoneticPr fontId="2" type="noConversion"/>
  </si>
  <si>
    <t>2 GB</t>
    <phoneticPr fontId="2" type="noConversion"/>
  </si>
  <si>
    <t>14.5.1</t>
    <phoneticPr fontId="2" type="noConversion"/>
  </si>
  <si>
    <t>2022.10.17</t>
  </si>
  <si>
    <t>폐기 단말</t>
  </si>
  <si>
    <t>GD_i_010</t>
  </si>
  <si>
    <t>iPhone 6S+</t>
    <phoneticPr fontId="2" type="noConversion"/>
  </si>
  <si>
    <t>MKU52KH/A
A1634</t>
    <phoneticPr fontId="2" type="noConversion"/>
  </si>
  <si>
    <t>Apple Twister MP2 1.85 GHz</t>
  </si>
  <si>
    <t>IT PowerVR GT7600 600 MHz</t>
  </si>
  <si>
    <t>11.4.1</t>
    <phoneticPr fontId="2" type="noConversion"/>
  </si>
  <si>
    <t>A75B628C3116F3BD93BC075AD2D649A7DD612B35</t>
    <phoneticPr fontId="2" type="noConversion"/>
  </si>
  <si>
    <t>GD_i_011</t>
  </si>
  <si>
    <t>iPad(5세대)</t>
  </si>
  <si>
    <t>MP2F2KH/A
A1822</t>
    <phoneticPr fontId="2" type="noConversion"/>
  </si>
  <si>
    <t>10.3.3</t>
  </si>
  <si>
    <t>D03C4D9C0BB367178BD92CD9CC295BAE037BCD00</t>
  </si>
  <si>
    <t>GD_i_012</t>
  </si>
  <si>
    <t>iPhone X</t>
  </si>
  <si>
    <t>MQAY2J/A
A1901</t>
    <phoneticPr fontId="2" type="noConversion"/>
  </si>
  <si>
    <t>Apple A11 Bionic
APL1W72</t>
    <phoneticPr fontId="2" type="noConversion"/>
  </si>
  <si>
    <t>Apple Monsoon MP2 2.38 GHz
Apple Mistral MP4 1.69 GHz</t>
    <phoneticPr fontId="2" type="noConversion"/>
  </si>
  <si>
    <t>Apple 1st Design MP3 780 MHz</t>
    <phoneticPr fontId="2" type="noConversion"/>
  </si>
  <si>
    <t>3 GB</t>
    <phoneticPr fontId="2" type="noConversion"/>
  </si>
  <si>
    <t>2436 x 1125</t>
  </si>
  <si>
    <t>607201155DD706E67295E44F27B9401DA0F83FEC</t>
    <phoneticPr fontId="2" type="noConversion"/>
  </si>
  <si>
    <t>GD_i_013</t>
  </si>
  <si>
    <t>iPhone 5S</t>
  </si>
  <si>
    <t>NF354KH/A
A1533</t>
    <phoneticPr fontId="2" type="noConversion"/>
  </si>
  <si>
    <t>Apple A7
S5L8960-APL0698</t>
  </si>
  <si>
    <t>Apple Cyclone MP2 1.3 GHz</t>
  </si>
  <si>
    <t>IT PowerVR G6430 375MHz</t>
  </si>
  <si>
    <t>F1E9685440FBE1D07D54C7E08C5F33DB1B9F55DA</t>
  </si>
  <si>
    <t>GD_i_014</t>
  </si>
  <si>
    <t>iPad Pro 9.7형(1세대)</t>
    <phoneticPr fontId="2" type="noConversion"/>
  </si>
  <si>
    <t>MLMP2KH/A
A1673</t>
    <phoneticPr fontId="2" type="noConversion"/>
  </si>
  <si>
    <t>Apple A9X
APL1021</t>
    <phoneticPr fontId="2" type="noConversion"/>
  </si>
  <si>
    <t>Apple Twister MP2 2.16 GHz</t>
    <phoneticPr fontId="2" type="noConversion"/>
  </si>
  <si>
    <t>IT PowerVR GT7800+ MP12 666 MHz</t>
    <phoneticPr fontId="2" type="noConversion"/>
  </si>
  <si>
    <t>2732 x 2048</t>
  </si>
  <si>
    <t>충전 불량</t>
    <phoneticPr fontId="2" type="noConversion"/>
  </si>
  <si>
    <t>GD_i_015</t>
    <phoneticPr fontId="2" type="noConversion"/>
  </si>
  <si>
    <t>iPhone Xs Max</t>
  </si>
  <si>
    <t>MT522KH/A
A2101</t>
    <phoneticPr fontId="2" type="noConversion"/>
  </si>
  <si>
    <t>Apple A12 Bionic
APL1W81</t>
    <phoneticPr fontId="2" type="noConversion"/>
  </si>
  <si>
    <t>Apple Vortex MP2 2.5 GHz
Apple Tempest MP4 1.54 GHz</t>
    <phoneticPr fontId="2" type="noConversion"/>
  </si>
  <si>
    <t>Apple G11P MP4 1.1 GHz</t>
    <phoneticPr fontId="2" type="noConversion"/>
  </si>
  <si>
    <t>2688 x 1242</t>
  </si>
  <si>
    <t>00008020-000A651C0130003A</t>
    <phoneticPr fontId="2" type="noConversion"/>
  </si>
  <si>
    <t>GD_i_016</t>
    <phoneticPr fontId="2" type="noConversion"/>
  </si>
  <si>
    <t>iPhone XR</t>
    <phoneticPr fontId="2" type="noConversion"/>
  </si>
  <si>
    <t>MRYD2KH/A
A2105</t>
    <phoneticPr fontId="2" type="noConversion"/>
  </si>
  <si>
    <t>Apple G11P MP4 1.1 GHz</t>
  </si>
  <si>
    <t>1792 x 828</t>
  </si>
  <si>
    <t>12.1.4</t>
  </si>
  <si>
    <t>00008020-001D698E3E3A002E</t>
  </si>
  <si>
    <t>GD_i_017</t>
    <phoneticPr fontId="2" type="noConversion"/>
  </si>
  <si>
    <t>iPad Pro 11형(3세대)</t>
    <phoneticPr fontId="2" type="noConversion"/>
  </si>
  <si>
    <t>MTxN2KH/A
A2377</t>
    <phoneticPr fontId="2" type="noConversion"/>
  </si>
  <si>
    <t>Apple M1 APL1102</t>
    <phoneticPr fontId="2" type="noConversion"/>
  </si>
  <si>
    <t xml:space="preserve">Apple Firestorm MP4 0.6GHz ~ 3.2 GHz 
Apple Icestorm MP4 0.6GHz ~ 2.06GHz </t>
    <phoneticPr fontId="2" type="noConversion"/>
  </si>
  <si>
    <t>Apple G13X MP8 1.28GHz</t>
    <phoneticPr fontId="2" type="noConversion"/>
  </si>
  <si>
    <t>2388 x 1668</t>
  </si>
  <si>
    <t>00008027-001018961E31002E</t>
    <phoneticPr fontId="2" type="noConversion"/>
  </si>
  <si>
    <t>GD_i_018</t>
    <phoneticPr fontId="2" type="noConversion"/>
  </si>
  <si>
    <t>iPad(7세대)</t>
    <phoneticPr fontId="2" type="noConversion"/>
  </si>
  <si>
    <t>MW6E2KH/A
A2198</t>
    <phoneticPr fontId="2" type="noConversion"/>
  </si>
  <si>
    <t>Apple A10 Fusion
APL1W24</t>
    <phoneticPr fontId="2" type="noConversion"/>
  </si>
  <si>
    <t>Apple Hurricane MP2 2.3 GHz
Apple Zephyr MP2 1.1 GHz</t>
    <phoneticPr fontId="2" type="noConversion"/>
  </si>
  <si>
    <t>IT PowerVR GT7600 MP6 900 MHz</t>
    <phoneticPr fontId="2" type="noConversion"/>
  </si>
  <si>
    <t>10.2"</t>
    <phoneticPr fontId="2" type="noConversion"/>
  </si>
  <si>
    <t>2160 x 1620</t>
  </si>
  <si>
    <t>16.6.1</t>
    <phoneticPr fontId="2" type="noConversion"/>
  </si>
  <si>
    <t>EDB6A18B6DD4C2DEB7E0CE76BA9D479D54429B00</t>
    <phoneticPr fontId="2" type="noConversion"/>
  </si>
  <si>
    <t>GD_i_019</t>
    <phoneticPr fontId="2" type="noConversion"/>
  </si>
  <si>
    <t>iPhone XS</t>
    <phoneticPr fontId="2" type="noConversion"/>
  </si>
  <si>
    <t>MT9G2KH/A
A2097</t>
    <phoneticPr fontId="2" type="noConversion"/>
  </si>
  <si>
    <t>Apple Vortex MP2 2.5 GHz
Apple Tempest MP4 1.54 GHz</t>
  </si>
  <si>
    <t>5.8”</t>
    <phoneticPr fontId="2" type="noConversion"/>
  </si>
  <si>
    <t>00008020-000D45DC3AC1002E</t>
    <phoneticPr fontId="2" type="noConversion"/>
  </si>
  <si>
    <t>GD_i_020</t>
  </si>
  <si>
    <t>iPhone 8+</t>
    <phoneticPr fontId="2" type="noConversion"/>
  </si>
  <si>
    <t>MQ8N2KH/A
A1897</t>
    <phoneticPr fontId="2" type="noConversion"/>
  </si>
  <si>
    <t>Apple Monsoon MP2 2.38 GHz
Apple Mistral MP4 1.69 GHz</t>
  </si>
  <si>
    <t>Apple 1st Design MP3 780 MHz</t>
  </si>
  <si>
    <t>5.5”</t>
    <phoneticPr fontId="2" type="noConversion"/>
  </si>
  <si>
    <t>64894B500CFB3C5BBDE720C99F96F5A73B18C3A2</t>
  </si>
  <si>
    <t>GD_i_021</t>
    <phoneticPr fontId="2" type="noConversion"/>
  </si>
  <si>
    <t>Apple</t>
    <phoneticPr fontId="2" type="noConversion"/>
  </si>
  <si>
    <t>iPhone SE2</t>
    <phoneticPr fontId="2" type="noConversion"/>
  </si>
  <si>
    <t>MX9U2KH/A
A2296</t>
    <phoneticPr fontId="2" type="noConversion"/>
  </si>
  <si>
    <t>Apple A13 Bionic
APL1W85</t>
    <phoneticPr fontId="2" type="noConversion"/>
  </si>
  <si>
    <t>Apple Lightning MP2 2.67 GHz
Apple Thunder MP4 1.73 GHz</t>
    <phoneticPr fontId="2" type="noConversion"/>
  </si>
  <si>
    <t>Apple 3st Design MP4 1.23 GHz</t>
    <phoneticPr fontId="2" type="noConversion"/>
  </si>
  <si>
    <t>4.7”</t>
    <phoneticPr fontId="2" type="noConversion"/>
  </si>
  <si>
    <t>18.6.2</t>
    <phoneticPr fontId="2" type="noConversion"/>
  </si>
  <si>
    <t>00008030-001629600EF3802E</t>
  </si>
  <si>
    <t>GD_i_022</t>
    <phoneticPr fontId="2" type="noConversion"/>
  </si>
  <si>
    <t>iPad Air 4</t>
    <phoneticPr fontId="2" type="noConversion"/>
  </si>
  <si>
    <t>MYFM2KH/A
A2316</t>
    <phoneticPr fontId="2" type="noConversion"/>
  </si>
  <si>
    <t>Apple A14 Bionic
APL1W01</t>
    <phoneticPr fontId="2" type="noConversion"/>
  </si>
  <si>
    <t>Apple Firestorm MP2 2.99 GHz
Apple Icestorm MP4 1.82 GHz</t>
  </si>
  <si>
    <t xml:space="preserve">Apple G13 MP4 </t>
    <phoneticPr fontId="2" type="noConversion"/>
  </si>
  <si>
    <t>10.9”</t>
    <phoneticPr fontId="2" type="noConversion"/>
  </si>
  <si>
    <t>2360 x 1640</t>
  </si>
  <si>
    <t>00008101-000C09521120001E</t>
    <phoneticPr fontId="2" type="noConversion"/>
  </si>
  <si>
    <t>GD_i_023</t>
    <phoneticPr fontId="2" type="noConversion"/>
  </si>
  <si>
    <t>iPad Pro 12.9(1세대)</t>
    <phoneticPr fontId="2" type="noConversion"/>
  </si>
  <si>
    <t>ML0N2CL/A</t>
  </si>
  <si>
    <t>Apple Twister MP2 2.26 GHz</t>
    <phoneticPr fontId="2" type="noConversion"/>
  </si>
  <si>
    <t>12.9"</t>
    <phoneticPr fontId="2" type="noConversion"/>
  </si>
  <si>
    <t>2021-04-07</t>
    <phoneticPr fontId="2" type="noConversion"/>
  </si>
  <si>
    <t>수리불가
(기기 교체 비용 108만원)</t>
    <phoneticPr fontId="2" type="noConversion"/>
  </si>
  <si>
    <t>BA7E73042C989AAC0107DA880520A761D9EF4117</t>
  </si>
  <si>
    <t>GD_i_024</t>
  </si>
  <si>
    <t>MRYT2LL/A
A2105</t>
    <phoneticPr fontId="2" type="noConversion"/>
  </si>
  <si>
    <t>00008020-000E65560CBA002E</t>
  </si>
  <si>
    <t>GD_i_025</t>
    <phoneticPr fontId="2" type="noConversion"/>
  </si>
  <si>
    <t xml:space="preserve"> 00008020-001A6CEA2604002E</t>
  </si>
  <si>
    <t>GD_i_026</t>
  </si>
  <si>
    <t>iPhone X</t>
    <phoneticPr fontId="2" type="noConversion"/>
  </si>
  <si>
    <t>MQAD2KH/A
A1901</t>
    <phoneticPr fontId="2" type="noConversion"/>
  </si>
  <si>
    <t>34379B3A9132DEF8E5DB98B4B87A03A13F25FFC3</t>
  </si>
  <si>
    <t>GD_i_027</t>
    <phoneticPr fontId="2" type="noConversion"/>
  </si>
  <si>
    <t>MQA62LL/A
A1901</t>
    <phoneticPr fontId="2" type="noConversion"/>
  </si>
  <si>
    <t>LINE 앱 설치 유지
배터리 64% 배터리 교체 필요</t>
    <phoneticPr fontId="2" type="noConversion"/>
  </si>
  <si>
    <t>52ce0a9bdae3ff104e74d548e0f4fc8ee2d34e66</t>
  </si>
  <si>
    <t>GD_i_028</t>
  </si>
  <si>
    <t>Apple Lightning MP2 2.67 GHz
Apple Thunder MP4 1.73 GHz</t>
  </si>
  <si>
    <t>Apple 3st Design MP4 1.23 GHz</t>
  </si>
  <si>
    <t>26.0
(23A341)</t>
    <phoneticPr fontId="2" type="noConversion"/>
  </si>
  <si>
    <t>OS 최신으로 유지(beta)
LINE 앱 설치 유지</t>
    <phoneticPr fontId="2" type="noConversion"/>
  </si>
  <si>
    <t>00008030-001D584C0AF3802E</t>
  </si>
  <si>
    <t>GD_i_029</t>
    <phoneticPr fontId="2" type="noConversion"/>
  </si>
  <si>
    <t>iPhone 12</t>
    <phoneticPr fontId="2" type="noConversion"/>
  </si>
  <si>
    <t>MGJE3AA/A
A2403</t>
    <phoneticPr fontId="2" type="noConversion"/>
  </si>
  <si>
    <t>Apple Firestorm MP2 2.99 GHz
Apple Icestorm MP4 1.82 GHz</t>
    <phoneticPr fontId="2" type="noConversion"/>
  </si>
  <si>
    <t xml:space="preserve">Apple G13 MP4 </t>
  </si>
  <si>
    <t>6.1”</t>
    <phoneticPr fontId="2" type="noConversion"/>
  </si>
  <si>
    <t>2532 x 1170</t>
  </si>
  <si>
    <t>00008101-00016C662680001E</t>
    <phoneticPr fontId="2" type="noConversion"/>
  </si>
  <si>
    <t>GD_i_030</t>
  </si>
  <si>
    <t>iPad Mini 5</t>
    <phoneticPr fontId="2" type="noConversion"/>
  </si>
  <si>
    <t xml:space="preserve"> MUQY2KH/A
A2133</t>
    <phoneticPr fontId="2" type="noConversion"/>
  </si>
  <si>
    <t>7.9”</t>
    <phoneticPr fontId="2" type="noConversion"/>
  </si>
  <si>
    <t>00008020-001575E81A80402E</t>
    <phoneticPr fontId="2" type="noConversion"/>
  </si>
  <si>
    <t>GD_i_031</t>
    <phoneticPr fontId="2" type="noConversion"/>
  </si>
  <si>
    <t>iPhone SE 3rd</t>
    <phoneticPr fontId="2" type="noConversion"/>
  </si>
  <si>
    <t>A2783</t>
    <phoneticPr fontId="2" type="noConversion"/>
  </si>
  <si>
    <t>Apple A15 Bionic
APL1W07</t>
    <phoneticPr fontId="2" type="noConversion"/>
  </si>
  <si>
    <t>Apple Avalanche MP2 3.23 GHz
Apple Blizzard MP4 2.0 GHz</t>
    <phoneticPr fontId="2" type="noConversion"/>
  </si>
  <si>
    <t xml:space="preserve">Apple G14 MP4 </t>
    <phoneticPr fontId="2" type="noConversion"/>
  </si>
  <si>
    <t>4.7"</t>
  </si>
  <si>
    <t>1334 x 750</t>
    <phoneticPr fontId="2" type="noConversion"/>
  </si>
  <si>
    <t>15.4.1</t>
    <phoneticPr fontId="2" type="noConversion"/>
  </si>
  <si>
    <t>GD_i_032</t>
  </si>
  <si>
    <t>iPhone 12 mini</t>
  </si>
  <si>
    <t>A2399</t>
    <phoneticPr fontId="2" type="noConversion"/>
  </si>
  <si>
    <t>5.4"</t>
  </si>
  <si>
    <t>15.5</t>
    <phoneticPr fontId="2" type="noConversion"/>
  </si>
  <si>
    <t>2022-11-01</t>
  </si>
  <si>
    <t>GD_i_033</t>
    <phoneticPr fontId="2" type="noConversion"/>
  </si>
  <si>
    <t>Pad</t>
  </si>
  <si>
    <t>iPad mini 6th</t>
    <phoneticPr fontId="2" type="noConversion"/>
  </si>
  <si>
    <t>A2567</t>
    <phoneticPr fontId="2" type="noConversion"/>
  </si>
  <si>
    <t>Apple Avalanche MP2 3.23 GHz
Apple Blizzard MP4 2.0 GHz</t>
  </si>
  <si>
    <t xml:space="preserve">Apple G14 MP4 </t>
  </si>
  <si>
    <t>8.3"</t>
  </si>
  <si>
    <t>2266 x 1488</t>
    <phoneticPr fontId="2" type="noConversion"/>
  </si>
  <si>
    <t>15.7</t>
    <phoneticPr fontId="2" type="noConversion"/>
  </si>
  <si>
    <t>00008110-00012DD43E46801E</t>
    <phoneticPr fontId="2" type="noConversion"/>
  </si>
  <si>
    <t>GD_i_034</t>
  </si>
  <si>
    <t>iPhone 11 Pro</t>
  </si>
  <si>
    <t>A2215</t>
    <phoneticPr fontId="2" type="noConversion"/>
  </si>
  <si>
    <t>Apple A13 Bionic
APL1W85</t>
  </si>
  <si>
    <t>5.8"</t>
  </si>
  <si>
    <t>15.6.1</t>
  </si>
  <si>
    <t>GD_i_035</t>
    <phoneticPr fontId="2" type="noConversion"/>
  </si>
  <si>
    <t>iPhone 11 Pro</t>
    <phoneticPr fontId="2" type="noConversion"/>
  </si>
  <si>
    <t>2436 x 1125</t>
    <phoneticPr fontId="2" type="noConversion"/>
  </si>
  <si>
    <t>00008030-00160DCC0A2A802E</t>
    <phoneticPr fontId="2" type="noConversion"/>
  </si>
  <si>
    <t>GD_i_036</t>
    <phoneticPr fontId="2" type="noConversion"/>
  </si>
  <si>
    <t>iPhone 12 Pro</t>
    <phoneticPr fontId="2" type="noConversion"/>
  </si>
  <si>
    <t>MGMN3KH/A
A2407</t>
    <phoneticPr fontId="2" type="noConversion"/>
  </si>
  <si>
    <t>2532 x 1170</t>
    <phoneticPr fontId="2" type="noConversion"/>
  </si>
  <si>
    <t>00008101-00061CCE1E83001E</t>
    <phoneticPr fontId="2" type="noConversion"/>
  </si>
  <si>
    <t>GD_i_037</t>
    <phoneticPr fontId="2" type="noConversion"/>
  </si>
  <si>
    <t>iPhone 12 mini</t>
    <phoneticPr fontId="2" type="noConversion"/>
  </si>
  <si>
    <t>GD_i_038</t>
    <phoneticPr fontId="2" type="noConversion"/>
  </si>
  <si>
    <t>iPhone 13 Pro</t>
    <phoneticPr fontId="2" type="noConversion"/>
  </si>
  <si>
    <t>MLVD3KH/A
A2638</t>
    <phoneticPr fontId="2" type="noConversion"/>
  </si>
  <si>
    <t>16.6</t>
    <phoneticPr fontId="2" type="noConversion"/>
  </si>
  <si>
    <t>GD_i_039</t>
    <phoneticPr fontId="2" type="noConversion"/>
  </si>
  <si>
    <t>iPhone 13 mini</t>
    <phoneticPr fontId="2" type="noConversion"/>
  </si>
  <si>
    <t>MLK23KH/A
A2628</t>
    <phoneticPr fontId="2" type="noConversion"/>
  </si>
  <si>
    <t>5.4"</t>
    <phoneticPr fontId="2" type="noConversion"/>
  </si>
  <si>
    <t>16.5.1</t>
  </si>
  <si>
    <t>2023-10-11</t>
  </si>
  <si>
    <t>00008110-00146C46210A801E</t>
    <phoneticPr fontId="2" type="noConversion"/>
  </si>
  <si>
    <t>GD_i_040</t>
    <phoneticPr fontId="2" type="noConversion"/>
  </si>
  <si>
    <t>iPhone 13</t>
    <phoneticPr fontId="2" type="noConversion"/>
  </si>
  <si>
    <t>MLQ83KH/A
A2633</t>
    <phoneticPr fontId="2" type="noConversion"/>
  </si>
  <si>
    <t>6.06"</t>
    <phoneticPr fontId="2" type="noConversion"/>
  </si>
  <si>
    <t>17.6.1</t>
    <phoneticPr fontId="2" type="noConversion"/>
  </si>
  <si>
    <t>GD_i_041</t>
    <phoneticPr fontId="2" type="noConversion"/>
  </si>
  <si>
    <t>MLPG3KH/A
A2633</t>
    <phoneticPr fontId="2" type="noConversion"/>
  </si>
  <si>
    <t>GD_i_042</t>
  </si>
  <si>
    <t>iPhone 13 Pro Max</t>
    <phoneticPr fontId="2" type="noConversion"/>
  </si>
  <si>
    <t>MLL83KH/A
A2643</t>
    <phoneticPr fontId="2" type="noConversion"/>
  </si>
  <si>
    <t>2778 x 1284</t>
    <phoneticPr fontId="2" type="noConversion"/>
  </si>
  <si>
    <t>GD_i_043</t>
    <phoneticPr fontId="2" type="noConversion"/>
  </si>
  <si>
    <t>iPhone 14</t>
    <phoneticPr fontId="2" type="noConversion"/>
  </si>
  <si>
    <t>MPUF3KH/A
A2882</t>
    <phoneticPr fontId="2" type="noConversion"/>
  </si>
  <si>
    <t>17.5.1</t>
    <phoneticPr fontId="2" type="noConversion"/>
  </si>
  <si>
    <t>GD_i_044</t>
    <phoneticPr fontId="2" type="noConversion"/>
  </si>
  <si>
    <t>iPhone 14+</t>
    <phoneticPr fontId="2" type="noConversion"/>
  </si>
  <si>
    <t>MQ523ZP/A
A2886</t>
    <phoneticPr fontId="2" type="noConversion"/>
  </si>
  <si>
    <t>17.6</t>
    <phoneticPr fontId="2" type="noConversion"/>
  </si>
  <si>
    <t>GD_i_045</t>
    <phoneticPr fontId="2" type="noConversion"/>
  </si>
  <si>
    <t>iPhone 15 Pro</t>
    <phoneticPr fontId="2" type="noConversion"/>
  </si>
  <si>
    <t>MTUV3KH/A
A3090</t>
    <phoneticPr fontId="2" type="noConversion"/>
  </si>
  <si>
    <t>Apple A17 Pro Bionic
APL1V02</t>
    <phoneticPr fontId="2" type="noConversion"/>
  </si>
  <si>
    <t>Apple Everest 3.78 GHz
Apple Sawtooth 2.11 GHz</t>
    <phoneticPr fontId="2" type="noConversion"/>
  </si>
  <si>
    <t>Apple G16 MP6 1,398 MHz</t>
    <phoneticPr fontId="2" type="noConversion"/>
  </si>
  <si>
    <t>2556 x 1179</t>
    <phoneticPr fontId="2" type="noConversion"/>
  </si>
  <si>
    <t>17.6.1</t>
  </si>
  <si>
    <t>GD_i_046</t>
    <phoneticPr fontId="2" type="noConversion"/>
  </si>
  <si>
    <t>iPad Air(5세대)</t>
    <phoneticPr fontId="2" type="noConversion"/>
  </si>
  <si>
    <t>MM9E3KH/A
A2588</t>
  </si>
  <si>
    <t>Apple M1
APL1102</t>
  </si>
  <si>
    <t>Apple Firestorm 0.6GHz
Apple Icestorm 0.6GHz</t>
    <phoneticPr fontId="2" type="noConversion"/>
  </si>
  <si>
    <t>10.86"</t>
  </si>
  <si>
    <t>17.3.1</t>
  </si>
  <si>
    <t>GD_i_047</t>
    <phoneticPr fontId="2" type="noConversion"/>
  </si>
  <si>
    <t>iPhone 16</t>
    <phoneticPr fontId="2" type="noConversion"/>
  </si>
  <si>
    <t>Apple A18 Bionic
APL1V08</t>
    <phoneticPr fontId="2" type="noConversion"/>
  </si>
  <si>
    <t>Apple Everest 4.04 GHz
Apple Sawtooth 2.40 GHz</t>
    <phoneticPr fontId="2" type="noConversion"/>
  </si>
  <si>
    <t>Apple G16 MP5 1.47 GHz</t>
    <phoneticPr fontId="2" type="noConversion"/>
  </si>
  <si>
    <t>18</t>
    <phoneticPr fontId="2" type="noConversion"/>
  </si>
  <si>
    <t>테스트 기기  보유 현황 (디지털콘텐츠기업성장지원센터-안양)</t>
    <phoneticPr fontId="2" type="noConversion"/>
  </si>
  <si>
    <t xml:space="preserve">기준 : </t>
  </si>
  <si>
    <t>센터 위치</t>
    <phoneticPr fontId="2" type="noConversion"/>
  </si>
  <si>
    <t>번호</t>
  </si>
  <si>
    <t>기기명</t>
    <phoneticPr fontId="2" type="noConversion"/>
  </si>
  <si>
    <t>AP</t>
  </si>
  <si>
    <t>화면 크기</t>
  </si>
  <si>
    <t>해상도</t>
  </si>
  <si>
    <t>안양</t>
    <phoneticPr fontId="2" type="noConversion"/>
  </si>
  <si>
    <t>A-SA-001</t>
  </si>
  <si>
    <t>삼성전자</t>
  </si>
  <si>
    <t>Galaxy S8+</t>
  </si>
  <si>
    <t>9.0.0</t>
  </si>
  <si>
    <t>안양</t>
  </si>
  <si>
    <t>A-SA-002</t>
  </si>
  <si>
    <t>LG G6</t>
  </si>
  <si>
    <t>7.0.0</t>
  </si>
  <si>
    <t>A-SA-003</t>
  </si>
  <si>
    <t>LG</t>
  </si>
  <si>
    <t>LG V30</t>
  </si>
  <si>
    <t>Qualcomm Snapdragon 835
MSM8998</t>
  </si>
  <si>
    <t>6.0"</t>
  </si>
  <si>
    <t>A-SA-004</t>
  </si>
  <si>
    <t>LG Q6</t>
  </si>
  <si>
    <t>Qualcomm Snapdragon 435
MSM8940</t>
  </si>
  <si>
    <t>A-SA-005</t>
  </si>
  <si>
    <t>Galaxy S8</t>
  </si>
  <si>
    <t>A-SA-006</t>
  </si>
  <si>
    <t>Galaxy Note 8</t>
  </si>
  <si>
    <t>6.3"</t>
  </si>
  <si>
    <t>A-SA-007</t>
  </si>
  <si>
    <t>Galaxy J7 2017</t>
  </si>
  <si>
    <t>Samsung Exynos 7 Octa 7870</t>
  </si>
  <si>
    <t>A-SA-008</t>
  </si>
  <si>
    <t>A-SA-009</t>
  </si>
  <si>
    <t>Galaxy A7 2017</t>
  </si>
  <si>
    <t>Samsung Exynos 7 Octa 7880</t>
  </si>
  <si>
    <t>A-SA-010</t>
  </si>
  <si>
    <t>Galaxy S9</t>
  </si>
  <si>
    <t>A-SA-011</t>
  </si>
  <si>
    <t>A-SA-012</t>
  </si>
  <si>
    <t>A-SA-013</t>
  </si>
  <si>
    <t>A-SA-014</t>
  </si>
  <si>
    <t>LG V50 ThinQ</t>
  </si>
  <si>
    <t>11.0.0</t>
  </si>
  <si>
    <t>A-SA-016</t>
  </si>
  <si>
    <t>Galaxy Z Fold 2</t>
  </si>
  <si>
    <t>Qualcomm Snapdragon 865+
SM8250-AB</t>
  </si>
  <si>
    <t>7.6"
6.2"</t>
  </si>
  <si>
    <t>2208 x 1768
2326 x 840</t>
    <phoneticPr fontId="2" type="noConversion"/>
  </si>
  <si>
    <t>12.0.0</t>
  </si>
  <si>
    <t>A-SA-017</t>
  </si>
  <si>
    <t>Galaxy Fold</t>
  </si>
  <si>
    <t>7.3"</t>
  </si>
  <si>
    <t>2152 x 1536</t>
  </si>
  <si>
    <t>A-SA-018</t>
  </si>
  <si>
    <t>Galaxy Z Flip</t>
  </si>
  <si>
    <t>2640 x 1080</t>
  </si>
  <si>
    <t>A-SA-019</t>
  </si>
  <si>
    <t>Galaxy S20</t>
  </si>
  <si>
    <t>A-SA-021</t>
  </si>
  <si>
    <t>Galaxy S10 5G</t>
  </si>
  <si>
    <t>A-SA-022</t>
  </si>
  <si>
    <t>Galaxy S10+</t>
  </si>
  <si>
    <t>A-SA-023</t>
  </si>
  <si>
    <t>Galaxy Note 10</t>
  </si>
  <si>
    <t>A-SA-024</t>
  </si>
  <si>
    <t>Galaxy Note 10+</t>
  </si>
  <si>
    <t>A-SA-025</t>
  </si>
  <si>
    <t>Galaxy A Quantum</t>
  </si>
  <si>
    <t>Samsung Exynos 9 Octa 980</t>
  </si>
  <si>
    <t>13.0.0</t>
  </si>
  <si>
    <t>A-SA-026</t>
  </si>
  <si>
    <t>Galaxy A90 5G</t>
  </si>
  <si>
    <t>A-SA-027</t>
  </si>
  <si>
    <t>Galaxy S9 (LGU+)</t>
  </si>
  <si>
    <t>10.0.0</t>
  </si>
  <si>
    <t>A-SA-028</t>
  </si>
  <si>
    <t>Galaxy S9+</t>
  </si>
  <si>
    <t>A-SA-029</t>
  </si>
  <si>
    <t>Galaxy Note 9</t>
  </si>
  <si>
    <t>A-SA-030</t>
  </si>
  <si>
    <t>LG V50S ThinQ</t>
  </si>
  <si>
    <t>A-SA-031</t>
  </si>
  <si>
    <t>LG VELVET</t>
  </si>
  <si>
    <t>Qualcomm Snapdragon 765
SM7250-AA</t>
  </si>
  <si>
    <t>A-SA-032</t>
  </si>
  <si>
    <t>LG Q9</t>
  </si>
  <si>
    <t>A-SA-033</t>
  </si>
  <si>
    <t>LG G8 (KT)</t>
  </si>
  <si>
    <t>A-SA-034</t>
  </si>
  <si>
    <t>Galaxy Note 20</t>
  </si>
  <si>
    <t>A-SA-035</t>
  </si>
  <si>
    <t>Galaxy Note 20 Ultra</t>
  </si>
  <si>
    <t>3088 x 1440</t>
  </si>
  <si>
    <t>A-SA-036</t>
  </si>
  <si>
    <t>Galaxy S21</t>
  </si>
  <si>
    <t>15.0.0</t>
  </si>
  <si>
    <t>A-SA-037</t>
  </si>
  <si>
    <t>Galaxy S21 Ultra</t>
  </si>
  <si>
    <t>14.0.0</t>
  </si>
  <si>
    <t>A-SA-038</t>
  </si>
  <si>
    <t>Galaxy Z Flip 3</t>
  </si>
  <si>
    <t>Qualcomm Snapdragon 888
SM8350</t>
  </si>
  <si>
    <t>A-SA-039</t>
  </si>
  <si>
    <t>Galaxy S21+ (LG U+)</t>
  </si>
  <si>
    <t>2400 x1080</t>
  </si>
  <si>
    <t>A-SA-040</t>
  </si>
  <si>
    <t>Galaxy Quantum 2</t>
  </si>
  <si>
    <t>A-SA-041</t>
  </si>
  <si>
    <t>Galaxy S20 Fe</t>
  </si>
  <si>
    <t>A-SA-044</t>
  </si>
  <si>
    <t>Galaxy S22 Ultra</t>
  </si>
  <si>
    <t>3088 × 1440</t>
  </si>
  <si>
    <t>16.0.0</t>
  </si>
  <si>
    <t>A-SA-045</t>
  </si>
  <si>
    <t>Galaxy Z Fold 3</t>
  </si>
  <si>
    <t>2208 x 1768
2268 x 832</t>
  </si>
  <si>
    <t>A-SA-046</t>
  </si>
  <si>
    <t>Galaxy A53</t>
  </si>
  <si>
    <t>Samsung Exynos 1280</t>
  </si>
  <si>
    <t>A-SA-047</t>
  </si>
  <si>
    <t>Galaxy Quantum 3</t>
  </si>
  <si>
    <t>MediaTek MT6877 Dimensity 900 5G</t>
  </si>
  <si>
    <t>A-SA-048</t>
  </si>
  <si>
    <t>Galaxy Z Flip 4</t>
  </si>
  <si>
    <t>Qualcomm Snapdragon 8+ Gen 1
SM8475</t>
  </si>
  <si>
    <t>2640 × 1080</t>
  </si>
  <si>
    <t>A-SA-051</t>
  </si>
  <si>
    <t>Galaxy S23</t>
  </si>
  <si>
    <t>2340 × 1080</t>
  </si>
  <si>
    <t>A-SA-052</t>
  </si>
  <si>
    <t>Galaxy S23+</t>
  </si>
  <si>
    <t>Qualcomm Snapdragon 8 Gen 2
SM8550-AC</t>
  </si>
  <si>
    <t xml:space="preserve">2340 × 1080 </t>
  </si>
  <si>
    <t>A-SA-054</t>
  </si>
  <si>
    <t>Galaxy S23 Ultra</t>
  </si>
  <si>
    <t>A-SA-055</t>
  </si>
  <si>
    <t>A-SA-056</t>
  </si>
  <si>
    <t>Galaxy A34</t>
  </si>
  <si>
    <t>MediaTek MT6877V Dimensity 1080 5G</t>
  </si>
  <si>
    <t>A-SA-059</t>
  </si>
  <si>
    <t>Galaxy A23</t>
  </si>
  <si>
    <t>Qualcomm Snapdragon 680
SM6225</t>
  </si>
  <si>
    <t>2408 x 1080</t>
  </si>
  <si>
    <t>A-SA-062</t>
  </si>
  <si>
    <t>Galaxy Z Flip 5</t>
  </si>
  <si>
    <t>6.7"
3.4"</t>
  </si>
  <si>
    <t>2640 x 1080
748 x 720</t>
  </si>
  <si>
    <t>A-SA-063</t>
  </si>
  <si>
    <t>Galaxy Z Fold 5</t>
  </si>
  <si>
    <t>2176 × 1812
2316 × 904</t>
    <phoneticPr fontId="2" type="noConversion"/>
  </si>
  <si>
    <t>A-SA-066</t>
  </si>
  <si>
    <t>Galaxy S24 Ultra</t>
  </si>
  <si>
    <t>Qualcomm Snapdragon 8 Gen 3
SM8650-AC</t>
  </si>
  <si>
    <t>A-SA-067</t>
  </si>
  <si>
    <t>Xiaomi</t>
  </si>
  <si>
    <t>Xiaomi Redmi Note 12</t>
  </si>
  <si>
    <t>Qualcomm Snapdragon 685
SM6225</t>
  </si>
  <si>
    <t>6.67"</t>
  </si>
  <si>
    <t>A-SA-068</t>
  </si>
  <si>
    <t>Xiaomi Redmi Note 13</t>
  </si>
  <si>
    <t>A-SA-069</t>
  </si>
  <si>
    <t>Redmi Note13 Pro</t>
  </si>
  <si>
    <t>Qualcomm Snapdragon 7S Gen 2
SM7435-AB</t>
  </si>
  <si>
    <t>1220 x 2712</t>
  </si>
  <si>
    <t>A-SA-070</t>
  </si>
  <si>
    <t>Galaxy Z Fold6</t>
  </si>
  <si>
    <t>7.6"
6.3"</t>
  </si>
  <si>
    <t>2160 x 1856
2376 x 968</t>
  </si>
  <si>
    <t>A-SA-071</t>
  </si>
  <si>
    <t>Galaxy Z Flip6</t>
  </si>
  <si>
    <t>2640 x 1080
720 x 748</t>
  </si>
  <si>
    <t>A-SA-073</t>
  </si>
  <si>
    <t>Galaxy S25+</t>
  </si>
  <si>
    <t>Qualcomm Snapdragon 8 Elite
SM8750-AC</t>
  </si>
  <si>
    <t>A-SA-075</t>
  </si>
  <si>
    <t>Galaxy A35</t>
  </si>
  <si>
    <t>Samsung Exynos 1380
S5E8835</t>
  </si>
  <si>
    <t>A-SA-076</t>
  </si>
  <si>
    <t>Galaxy S25 Edge</t>
  </si>
  <si>
    <t>A-SA-077</t>
  </si>
  <si>
    <t>Galaxy Z Fold7</t>
  </si>
  <si>
    <t>8.0"
6.5"</t>
  </si>
  <si>
    <t>2184 x 1968
2520 x 1080</t>
  </si>
  <si>
    <t>A-SA-078</t>
  </si>
  <si>
    <t>Galaxy Z Flip7</t>
  </si>
  <si>
    <t>Samsung Exynos 2500
S5E9955</t>
  </si>
  <si>
    <t>6.9"
4.1"</t>
  </si>
  <si>
    <t>2520 x 1080
1048 x 948</t>
  </si>
  <si>
    <t>A-TA-001</t>
  </si>
  <si>
    <t>Galaxy Tap S7 (Wifi)</t>
  </si>
  <si>
    <t>11"</t>
  </si>
  <si>
    <t>A-TA-002</t>
  </si>
  <si>
    <t>Galaxy Tap S7+ (Wifi)</t>
  </si>
  <si>
    <t>2800 x 1752</t>
  </si>
  <si>
    <t>A-TA-003</t>
  </si>
  <si>
    <t>Galaxy Tap S8 (Wifi)</t>
  </si>
  <si>
    <t>A-TA-004</t>
  </si>
  <si>
    <t>Galaxy Tap S8+ (Wifi)</t>
  </si>
  <si>
    <t>A-TA-005</t>
  </si>
  <si>
    <t>Galaxy Tap A8</t>
  </si>
  <si>
    <t>UNISOC T618 LTE</t>
  </si>
  <si>
    <t>10.5"</t>
  </si>
  <si>
    <t>A-TA-007</t>
  </si>
  <si>
    <t>Galaxy Tap S9</t>
  </si>
  <si>
    <t>A-TA-008</t>
  </si>
  <si>
    <t>Galaxy Tap S9+</t>
  </si>
  <si>
    <t>A-TA-009</t>
  </si>
  <si>
    <t>Galaxy Tap A9+</t>
  </si>
  <si>
    <t>Qualcomm Snapdragon 695
SM6375</t>
  </si>
  <si>
    <t>SA-001</t>
  </si>
  <si>
    <t>Galaxy Mega (KT)</t>
  </si>
  <si>
    <t>Broadcom BCM28155</t>
  </si>
  <si>
    <t>SA-002</t>
  </si>
  <si>
    <t>Galaxy S3 (KT)</t>
  </si>
  <si>
    <t>4.4.4</t>
  </si>
  <si>
    <t>SA-003</t>
  </si>
  <si>
    <t>Galaxy S4 (KT)</t>
  </si>
  <si>
    <t>Samsung Exynos 5 Octa</t>
  </si>
  <si>
    <t>5.0"</t>
  </si>
  <si>
    <t>5.0.1</t>
  </si>
  <si>
    <t>SA-004</t>
  </si>
  <si>
    <t>Galaxy S4 Mini (KT)</t>
  </si>
  <si>
    <t>Qualcomm Snapdragon 400
MSM8X30AB</t>
  </si>
  <si>
    <t>4.3"</t>
  </si>
  <si>
    <t>960 x 540</t>
  </si>
  <si>
    <t>SA-005</t>
  </si>
  <si>
    <t>Galaxy S4 Active (SKT)</t>
  </si>
  <si>
    <t>Qualcomm Snapdragon 800
MSM8974</t>
  </si>
  <si>
    <t>SA-007</t>
  </si>
  <si>
    <t>LG Optimus G (KT)</t>
  </si>
  <si>
    <t>Qualcomm Snapdragon S4 Pro
APQ8064</t>
  </si>
  <si>
    <t>4.7'</t>
  </si>
  <si>
    <t>1280 x 768</t>
  </si>
  <si>
    <t>4.1.2</t>
  </si>
  <si>
    <t>SA-008</t>
  </si>
  <si>
    <t>LG G2 (SKT)</t>
  </si>
  <si>
    <t>5.2"</t>
  </si>
  <si>
    <t>SA-009</t>
  </si>
  <si>
    <t>LG Optimus G Pro (KT)</t>
  </si>
  <si>
    <t>Qualcomm Snapdragon 600
APQ8064T</t>
  </si>
  <si>
    <t>SA-012</t>
  </si>
  <si>
    <t>LG Optimus LTE3 (SKT)</t>
  </si>
  <si>
    <t>Qualcomm Snapdragon S4 Plus
MSM8960</t>
  </si>
  <si>
    <t>4.5"</t>
  </si>
  <si>
    <t>SA-013</t>
  </si>
  <si>
    <t>LG Optimus GK (KT)</t>
  </si>
  <si>
    <t>SA-014</t>
  </si>
  <si>
    <t>LG Optimus Vu II (KT)</t>
  </si>
  <si>
    <t>1024 x 768</t>
  </si>
  <si>
    <t>SA-015</t>
  </si>
  <si>
    <t>LG Vu 3 (KT)</t>
  </si>
  <si>
    <t>1280 x 960</t>
  </si>
  <si>
    <t>SA-018</t>
  </si>
  <si>
    <t>팬텍</t>
  </si>
  <si>
    <t>Vega R3 (KT)</t>
  </si>
  <si>
    <t>5.3"</t>
  </si>
  <si>
    <t>SA-019</t>
  </si>
  <si>
    <t>Vega Secret UP (SKT)</t>
  </si>
  <si>
    <t>5.6"</t>
  </si>
  <si>
    <t>SA-020</t>
  </si>
  <si>
    <t>Vega Secret Note (KT)</t>
  </si>
  <si>
    <t>SA-021</t>
  </si>
  <si>
    <t>Vega Iron (SKT)</t>
  </si>
  <si>
    <t>SA-022</t>
  </si>
  <si>
    <t>Vega Iron 2 (KT)</t>
  </si>
  <si>
    <t>SA-023</t>
  </si>
  <si>
    <t>Xperia Z1</t>
  </si>
  <si>
    <t>SA-024</t>
  </si>
  <si>
    <t>Xperia Z2</t>
  </si>
  <si>
    <t>SA-025</t>
  </si>
  <si>
    <t>HTC</t>
  </si>
  <si>
    <t>HTC Butterfly</t>
  </si>
  <si>
    <t>5"</t>
  </si>
  <si>
    <t>4.3.0</t>
  </si>
  <si>
    <t>SA-026</t>
  </si>
  <si>
    <t>ZTE</t>
  </si>
  <si>
    <t>ZTE Grand Era</t>
  </si>
  <si>
    <t>4.0.4</t>
  </si>
  <si>
    <t>SA-027</t>
  </si>
  <si>
    <t>MEDIAS</t>
  </si>
  <si>
    <t>ES N-05D docomo</t>
  </si>
  <si>
    <t>Qualcomm Snapdragon S3
MSM8260</t>
  </si>
  <si>
    <t>2.3.6</t>
  </si>
  <si>
    <t>SA-028</t>
  </si>
  <si>
    <t>HTC One M8</t>
  </si>
  <si>
    <t>6.0.0</t>
  </si>
  <si>
    <t>SA-029</t>
  </si>
  <si>
    <t>Nexus 5</t>
  </si>
  <si>
    <t>4.95"</t>
  </si>
  <si>
    <t>SA-030</t>
  </si>
  <si>
    <t>Galaxy Alpha (LGU+)</t>
  </si>
  <si>
    <t>Samsung Exynos 5 Octa 5430</t>
  </si>
  <si>
    <t>1280 x 720</t>
    <phoneticPr fontId="2" type="noConversion"/>
  </si>
  <si>
    <t>SA-031</t>
  </si>
  <si>
    <t>Galaxy S5 LTE-A (LGU+)</t>
  </si>
  <si>
    <t>Qualcomm Snapdragon 805</t>
  </si>
  <si>
    <t>5.1"</t>
  </si>
  <si>
    <t>SA-033</t>
  </si>
  <si>
    <t>Galaxy S6 Edge (KT)</t>
  </si>
  <si>
    <t>SA-034</t>
  </si>
  <si>
    <t>Galaxy Note Edge (SKT)</t>
  </si>
  <si>
    <t>SA-035</t>
  </si>
  <si>
    <t>LG G4 (SKT)</t>
  </si>
  <si>
    <t>SA-036</t>
  </si>
  <si>
    <t>OPPO</t>
  </si>
  <si>
    <t>Oppo N3</t>
  </si>
  <si>
    <t>SA-037</t>
  </si>
  <si>
    <t>VIVO</t>
  </si>
  <si>
    <t>Vivo Xshot</t>
  </si>
  <si>
    <t>SA-038</t>
  </si>
  <si>
    <t>Xiaomi Mi Note</t>
  </si>
  <si>
    <t>SA-039</t>
  </si>
  <si>
    <t>UMI</t>
  </si>
  <si>
    <t>UMI Zero</t>
  </si>
  <si>
    <t>MediaTek MT6592T</t>
  </si>
  <si>
    <t>SA-040</t>
  </si>
  <si>
    <t>Lenovo</t>
  </si>
  <si>
    <t>Vibe Z2 Pro</t>
  </si>
  <si>
    <t>SA-041</t>
  </si>
  <si>
    <t>Nubia Z7 MINI</t>
  </si>
  <si>
    <t>SA-042</t>
  </si>
  <si>
    <t>Coolpad</t>
  </si>
  <si>
    <t>Dazen X7</t>
  </si>
  <si>
    <t>MediaTek Octa MT6562M</t>
  </si>
  <si>
    <t>SA-043</t>
  </si>
  <si>
    <t>THL</t>
  </si>
  <si>
    <t>THL 5000</t>
  </si>
  <si>
    <t>MediaTek Octa MT6592</t>
  </si>
  <si>
    <t>SA-044</t>
  </si>
  <si>
    <t>OnePlus</t>
  </si>
  <si>
    <t>OnePlus One</t>
  </si>
  <si>
    <t>SA-045</t>
  </si>
  <si>
    <t>Galaxy Note 5 (SKT)</t>
  </si>
  <si>
    <t>SA-046</t>
  </si>
  <si>
    <t>Galaxy S6 Edge (중국발매)</t>
  </si>
  <si>
    <t>SA-047</t>
  </si>
  <si>
    <t>Galaxy S6 Edge Plus (KT)</t>
  </si>
  <si>
    <t>SA-048</t>
  </si>
  <si>
    <t>Galaxy Note 7 (SKT)</t>
  </si>
  <si>
    <t>SA-051</t>
  </si>
  <si>
    <t>Galaxy S7 Edge (LGU+)</t>
  </si>
  <si>
    <t>SA-052</t>
  </si>
  <si>
    <t>LG G5 (KT)</t>
  </si>
  <si>
    <t>SA-054</t>
  </si>
  <si>
    <t>Wine Smart Jazz (KT)</t>
  </si>
  <si>
    <t>Qualcomm Snapdragon 210
MSM8909</t>
  </si>
  <si>
    <t>3.2"</t>
  </si>
  <si>
    <t>480 x 320</t>
  </si>
  <si>
    <t>SA-055</t>
  </si>
  <si>
    <t>SA-056</t>
  </si>
  <si>
    <t>Xiaomi Redmi Note 3 Pro</t>
  </si>
  <si>
    <t>Qualcomm Snapdragon 650
MSM8956</t>
  </si>
  <si>
    <t>SA-058</t>
  </si>
  <si>
    <t>IM-100 (KT)</t>
  </si>
  <si>
    <t>5.15"</t>
  </si>
  <si>
    <t>SA-059</t>
  </si>
  <si>
    <t>IM-100 (SKT)</t>
  </si>
  <si>
    <t>SA-060</t>
  </si>
  <si>
    <t>LG V20 (KT)</t>
  </si>
  <si>
    <t>SA-061</t>
  </si>
  <si>
    <t>LG V20 (SKT)</t>
  </si>
  <si>
    <t>SA-062</t>
  </si>
  <si>
    <t>LG G6 (SKT)</t>
  </si>
  <si>
    <t>SA-063</t>
  </si>
  <si>
    <t>LG G6 (LGU+)</t>
  </si>
  <si>
    <t>SA-064</t>
  </si>
  <si>
    <t>Galaxy S8 (SKT)</t>
  </si>
  <si>
    <t>SA-065</t>
  </si>
  <si>
    <t>Galaxy S8+ (SKT)</t>
  </si>
  <si>
    <t>SA-066</t>
  </si>
  <si>
    <t>Galaxy S8+ (KT)</t>
  </si>
  <si>
    <t>2960 x 1440 </t>
  </si>
  <si>
    <t>SA-067</t>
  </si>
  <si>
    <t>Galaxy Note 8 (LGU+)</t>
  </si>
  <si>
    <t>SA-068</t>
  </si>
  <si>
    <t>SA-069</t>
  </si>
  <si>
    <t>LG V30 (LGU+)</t>
  </si>
  <si>
    <t>6"</t>
  </si>
  <si>
    <t>SA-070</t>
  </si>
  <si>
    <t>SA-071</t>
  </si>
  <si>
    <t>HTC U11</t>
  </si>
  <si>
    <t>SA-073</t>
  </si>
  <si>
    <t>HUAWEI</t>
  </si>
  <si>
    <t>Honor 6X</t>
  </si>
  <si>
    <t>HiSilicon Kirin 655</t>
  </si>
  <si>
    <t>SA-074</t>
  </si>
  <si>
    <t>Xiaomi Mi Max2</t>
  </si>
  <si>
    <t>Qualcomm Snapdragon 625
MSM8953</t>
  </si>
  <si>
    <t>6.44"</t>
  </si>
  <si>
    <t>SA-075</t>
  </si>
  <si>
    <t>SA-076</t>
  </si>
  <si>
    <t>Galaxy S9 (WIFI)</t>
  </si>
  <si>
    <t>SA-077</t>
  </si>
  <si>
    <t>Galaxy S9+ (WIFI)</t>
  </si>
  <si>
    <t>SA-078</t>
  </si>
  <si>
    <t>Galaxy Note 9 (KT)</t>
  </si>
  <si>
    <t>SA-079</t>
  </si>
  <si>
    <t>Galaxy A8 2018 (KT)</t>
  </si>
  <si>
    <t>Samsung Exynos 7 Octa 7885</t>
  </si>
  <si>
    <t>SA-080</t>
  </si>
  <si>
    <t>LG G7 ThinQ (LGU+)</t>
  </si>
  <si>
    <t>SA-081</t>
  </si>
  <si>
    <t>LG X4 Plus (LGU+)</t>
  </si>
  <si>
    <t>Qualcomm Snapdragon 425
MSM8917</t>
  </si>
  <si>
    <t>SA-082</t>
  </si>
  <si>
    <t>Xiaomi Redmi Note 5 (WIFI)</t>
  </si>
  <si>
    <t>Qualcomm Snapdragon 636
SDM636</t>
  </si>
  <si>
    <t>5.99"</t>
  </si>
  <si>
    <t>SA-083</t>
  </si>
  <si>
    <t>LG V40 ThinQ (WIFI)</t>
  </si>
  <si>
    <t>SA-084</t>
  </si>
  <si>
    <t>Xiaomi Mi 8 (WIFI)</t>
  </si>
  <si>
    <t>6.21"</t>
  </si>
  <si>
    <t>2248 x 1080</t>
  </si>
  <si>
    <t>SA-085</t>
  </si>
  <si>
    <t>Vivo X23 (WIFI)</t>
  </si>
  <si>
    <t>SA-086</t>
  </si>
  <si>
    <t>Xperia XZ3 (WIFI)</t>
  </si>
  <si>
    <t>SA-088</t>
  </si>
  <si>
    <t>Mate 20 Pro (WIFI)</t>
  </si>
  <si>
    <t>HiSilicon Kirin 980</t>
  </si>
  <si>
    <t>6.39"</t>
  </si>
  <si>
    <t>SA-089</t>
  </si>
  <si>
    <t>Huawei Mate 20 X (WIFI)</t>
  </si>
  <si>
    <t>7.2"</t>
  </si>
  <si>
    <t>2244 x 1080</t>
  </si>
  <si>
    <t>SA-090</t>
  </si>
  <si>
    <t>Huawei Mate 20 RS (WIFI)</t>
  </si>
  <si>
    <t>SA-091</t>
  </si>
  <si>
    <t>Galaxy S10 (WIFI)</t>
  </si>
  <si>
    <t>SA-092</t>
  </si>
  <si>
    <t>Galaxy S10+ (WIFI)</t>
  </si>
  <si>
    <t>SA-093</t>
  </si>
  <si>
    <t>Galaxy S10e (WIFI)</t>
  </si>
  <si>
    <t>SA-094</t>
  </si>
  <si>
    <t>Galaxy S10 5G (WIFI)</t>
  </si>
  <si>
    <t>SA-095</t>
  </si>
  <si>
    <t>LG G8 ThinQ (WIFI)</t>
  </si>
  <si>
    <t>SA-096</t>
  </si>
  <si>
    <t>LG V50 ThinQ 5G</t>
  </si>
  <si>
    <t>SA-097</t>
  </si>
  <si>
    <t>Pixel 3 (WIFI)</t>
  </si>
  <si>
    <t>SA-098</t>
  </si>
  <si>
    <t>Pixel 3 XL (WIFI)</t>
  </si>
  <si>
    <t>SA-099</t>
  </si>
  <si>
    <t>Xiaomi Mi 9 (WIFI)</t>
  </si>
  <si>
    <t>SA-100</t>
  </si>
  <si>
    <t>Xiaomi Mi Mix 3 LTE</t>
  </si>
  <si>
    <t>SA-101</t>
  </si>
  <si>
    <t>Xiaomi Mi Mix 3 5G</t>
  </si>
  <si>
    <t>SA-102</t>
  </si>
  <si>
    <t>SA-103</t>
  </si>
  <si>
    <t>Galaxy Note 10 5G</t>
  </si>
  <si>
    <t>SA-104</t>
  </si>
  <si>
    <t>Galaxy Note 10+ 5G</t>
  </si>
  <si>
    <t>SA-105</t>
  </si>
  <si>
    <t>LG V50S THINQ 5G (LGU+)</t>
  </si>
  <si>
    <t>SA-106</t>
  </si>
  <si>
    <t>Galaxy Fold 5G</t>
  </si>
  <si>
    <t>2152 x 1536
1680 x 720</t>
  </si>
  <si>
    <t>TA-001</t>
  </si>
  <si>
    <t>Galaxy Note 8.0</t>
  </si>
  <si>
    <t>8"</t>
  </si>
  <si>
    <t>1280 x 800</t>
  </si>
  <si>
    <t>TA-002</t>
  </si>
  <si>
    <t>Galaxy Note Pro 12.2</t>
  </si>
  <si>
    <t>12.2"</t>
  </si>
  <si>
    <t>TA-003</t>
  </si>
  <si>
    <t>Galaxy Player 5.8</t>
  </si>
  <si>
    <t>TI OMAP 4430</t>
  </si>
  <si>
    <t>TA-004</t>
  </si>
  <si>
    <t>Galaxy Tab 3 10.1</t>
  </si>
  <si>
    <t>인텔 Atom Clover Trail+ Z2560</t>
  </si>
  <si>
    <t>10.1"</t>
  </si>
  <si>
    <t>TA-005</t>
  </si>
  <si>
    <t>Xperia Tablet S</t>
  </si>
  <si>
    <t>NVIDIA Tegra 3 T30L</t>
  </si>
  <si>
    <t>4.1.1</t>
  </si>
  <si>
    <t>TA-007</t>
  </si>
  <si>
    <t>ASUS</t>
  </si>
  <si>
    <t>Nexus 7 2013</t>
  </si>
  <si>
    <t>7"</t>
  </si>
  <si>
    <t>TA-008</t>
  </si>
  <si>
    <t>LG G Pad</t>
  </si>
  <si>
    <t>TA-010</t>
  </si>
  <si>
    <t>Galaxy Tab S3 9.7 (Wifi)</t>
  </si>
  <si>
    <t>9.7"</t>
  </si>
  <si>
    <t>TA-011</t>
  </si>
  <si>
    <t>TA-012</t>
  </si>
  <si>
    <t>Galaxy Tab S4 (WIFI)</t>
  </si>
  <si>
    <t>TA-013</t>
  </si>
  <si>
    <t>Xiaomi Mi Pad 4</t>
  </si>
  <si>
    <t>Qualcomm Snapdragon 660 AIE
SDM660</t>
  </si>
  <si>
    <t>8.0"</t>
  </si>
  <si>
    <t>TA-014</t>
  </si>
  <si>
    <t>Galaxy Tab S6 (WiFi)</t>
  </si>
  <si>
    <t>판교</t>
    <phoneticPr fontId="2" type="noConversion"/>
  </si>
  <si>
    <t>P-SA-001</t>
  </si>
  <si>
    <t>Xperia XZ</t>
  </si>
  <si>
    <t>1920 x 1080</t>
    <phoneticPr fontId="2" type="noConversion"/>
  </si>
  <si>
    <t>P-SA-002</t>
  </si>
  <si>
    <t>LG V20</t>
  </si>
  <si>
    <t>2560 x 1440</t>
    <phoneticPr fontId="2" type="noConversion"/>
  </si>
  <si>
    <t>P-SA-003</t>
  </si>
  <si>
    <t>TG앤컴퍼니</t>
  </si>
  <si>
    <t>LUNA S</t>
  </si>
  <si>
    <t>Qualcomm Snapdragon 652
MSM8976</t>
    <phoneticPr fontId="2" type="noConversion"/>
  </si>
  <si>
    <t>P-SA-005</t>
  </si>
  <si>
    <t>P-SA-006</t>
  </si>
  <si>
    <t>Samsung Exynos 8 Octa 8890</t>
    <phoneticPr fontId="2" type="noConversion"/>
  </si>
  <si>
    <t>P-SA-007</t>
  </si>
  <si>
    <t>Samsung Exynos 9 Octa 8895</t>
    <phoneticPr fontId="2" type="noConversion"/>
  </si>
  <si>
    <t>P-SA-008</t>
  </si>
  <si>
    <t>P-SA-009</t>
  </si>
  <si>
    <t>LG X500</t>
  </si>
  <si>
    <t>MediaTek MT6750</t>
    <phoneticPr fontId="2" type="noConversion"/>
  </si>
  <si>
    <t>P-SA-010</t>
  </si>
  <si>
    <t>LG G6+</t>
  </si>
  <si>
    <t>P-SA-011</t>
  </si>
  <si>
    <t>P-SA-012</t>
  </si>
  <si>
    <t>Galaxy J5 2017</t>
  </si>
  <si>
    <t>Samsung Exynos Octa 7870</t>
  </si>
  <si>
    <t>P-SA-014</t>
  </si>
  <si>
    <t>Sony</t>
  </si>
  <si>
    <t>Xperia C5 Ultra Dual</t>
  </si>
  <si>
    <t>MediaTek MT6752</t>
  </si>
  <si>
    <t>P-SA-015</t>
  </si>
  <si>
    <t>2880 x 1440</t>
    <phoneticPr fontId="2" type="noConversion"/>
  </si>
  <si>
    <t>P-SA-017</t>
  </si>
  <si>
    <t>1920 X 1080</t>
  </si>
  <si>
    <t>P-SA-018</t>
  </si>
  <si>
    <t>Samsung Exynos 7 Octa 7880</t>
    <phoneticPr fontId="2" type="noConversion"/>
  </si>
  <si>
    <t>P-SA-019</t>
  </si>
  <si>
    <t>P-SA-020</t>
  </si>
  <si>
    <t>Samsung Exynos 9 Octa 9810</t>
    <phoneticPr fontId="2" type="noConversion"/>
  </si>
  <si>
    <t>2960 x 1440</t>
    <phoneticPr fontId="2" type="noConversion"/>
  </si>
  <si>
    <t>P-SA-021</t>
  </si>
  <si>
    <t>LG V40</t>
  </si>
  <si>
    <t>P-SA-022</t>
  </si>
  <si>
    <t>P-SA-023</t>
  </si>
  <si>
    <t>Qualcomm Snapdragon 835
MSM8998</t>
    <phoneticPr fontId="2" type="noConversion"/>
  </si>
  <si>
    <t>P-SA-024</t>
  </si>
  <si>
    <t>P-SA-025</t>
  </si>
  <si>
    <t>P-SA-026</t>
  </si>
  <si>
    <t>Samsung Exynos 9 Octa 9820</t>
    <phoneticPr fontId="2" type="noConversion"/>
  </si>
  <si>
    <t>P-SA-027</t>
  </si>
  <si>
    <t>P-SA-028</t>
  </si>
  <si>
    <t>P-SA-029</t>
  </si>
  <si>
    <t>P-SA-030</t>
  </si>
  <si>
    <t>Samsung Exynos 9 Octa 9825</t>
    <phoneticPr fontId="2" type="noConversion"/>
  </si>
  <si>
    <t>P-SA-031</t>
  </si>
  <si>
    <t>Galaxy S20+</t>
  </si>
  <si>
    <t>Qualcomm Snapdragon 865
SM8250</t>
    <phoneticPr fontId="2" type="noConversion"/>
  </si>
  <si>
    <t>P-SA-032</t>
  </si>
  <si>
    <t>P-SA-033</t>
  </si>
  <si>
    <t>Qualcomm Snapdragon 855+
SM8150-AC</t>
    <phoneticPr fontId="2" type="noConversion"/>
  </si>
  <si>
    <t>P-SA-034</t>
  </si>
  <si>
    <t>P-SA-035</t>
  </si>
  <si>
    <t>Qualcomm Snapdragon 765
SM7250-AA</t>
    <phoneticPr fontId="2" type="noConversion"/>
  </si>
  <si>
    <t>P-SA-036</t>
  </si>
  <si>
    <t>Samsung Exynos 2100</t>
    <phoneticPr fontId="2" type="noConversion"/>
  </si>
  <si>
    <t>P-SA-037</t>
  </si>
  <si>
    <t>P-SA-038</t>
  </si>
  <si>
    <t>Galaxy S22</t>
  </si>
  <si>
    <t>P-SA-039</t>
  </si>
  <si>
    <t>Galaxy S22+</t>
  </si>
  <si>
    <t>P-SA-040</t>
  </si>
  <si>
    <t>3088 × 1440</t>
    <phoneticPr fontId="2" type="noConversion"/>
  </si>
  <si>
    <t>P-SA-041</t>
  </si>
  <si>
    <t>Qualcomm Snapdragon 888
SM8350</t>
    <phoneticPr fontId="2" type="noConversion"/>
  </si>
  <si>
    <t>P-SA-042</t>
  </si>
  <si>
    <t>7.6" 
6.2"</t>
  </si>
  <si>
    <t>2208 X 1768
2268 X 832</t>
    <phoneticPr fontId="2" type="noConversion"/>
  </si>
  <si>
    <t>P-SA-043</t>
  </si>
  <si>
    <t>P-SA-044</t>
  </si>
  <si>
    <t>Samsung Exynos 1280</t>
    <phoneticPr fontId="2" type="noConversion"/>
  </si>
  <si>
    <t>P-SA-045</t>
  </si>
  <si>
    <t>MediaTek MT6877 Dimensity 900 5G</t>
    <phoneticPr fontId="2" type="noConversion"/>
  </si>
  <si>
    <t>P-SA-046</t>
  </si>
  <si>
    <t>Qualcomm Snapdragon 8+ Gen 1
SM8475</t>
    <phoneticPr fontId="2" type="noConversion"/>
  </si>
  <si>
    <t>2640 x 1080</t>
    <phoneticPr fontId="2" type="noConversion"/>
  </si>
  <si>
    <t>P-SA-047</t>
  </si>
  <si>
    <t>Galaxy Z Fold 4</t>
  </si>
  <si>
    <t>2176 x 1812
2316 x 904</t>
  </si>
  <si>
    <t>P-SA-048</t>
  </si>
  <si>
    <t xml:space="preserve">Qualcomm Snapdragon 8 Gen 2
SM8550-AC </t>
    <phoneticPr fontId="2" type="noConversion"/>
  </si>
  <si>
    <t>P-SA-049</t>
  </si>
  <si>
    <t>P-SA-050</t>
  </si>
  <si>
    <t>3088 x 1440</t>
    <phoneticPr fontId="2" type="noConversion"/>
  </si>
  <si>
    <t>P-SA-051</t>
  </si>
  <si>
    <t>MediaTek MT6877V Dimensity 1080 5G</t>
    <phoneticPr fontId="2" type="noConversion"/>
  </si>
  <si>
    <t>P-SA-052</t>
  </si>
  <si>
    <t>Galaxy A33</t>
  </si>
  <si>
    <t>P-SA-053</t>
  </si>
  <si>
    <t>Qualcomm Snapdragon 680
SM6225</t>
    <phoneticPr fontId="2" type="noConversion"/>
  </si>
  <si>
    <t>P-SA-054</t>
  </si>
  <si>
    <t>Galaxy S24</t>
  </si>
  <si>
    <t>Samsung Exynos 2400</t>
    <phoneticPr fontId="2" type="noConversion"/>
  </si>
  <si>
    <t>P-SA-055</t>
  </si>
  <si>
    <t>Galaxy S24+</t>
  </si>
  <si>
    <t>P-SA-056</t>
  </si>
  <si>
    <t>Qualcomm Snapdragon 8 Gen 3
SM8650-AC</t>
    <phoneticPr fontId="2" type="noConversion"/>
  </si>
  <si>
    <t>P-SA-057</t>
  </si>
  <si>
    <t>Galaxy S25</t>
  </si>
  <si>
    <t>2340 × 1080</t>
    <phoneticPr fontId="2" type="noConversion"/>
  </si>
  <si>
    <t>P-SA-058</t>
  </si>
  <si>
    <t>3120 × 1440</t>
  </si>
  <si>
    <t>P-SA-059</t>
  </si>
  <si>
    <t>Galaxy S25 Ultra</t>
  </si>
  <si>
    <t>P-SA-060</t>
  </si>
  <si>
    <t>Samsung Exynos 1380
5E8835</t>
  </si>
  <si>
    <t>P-SA-061</t>
  </si>
  <si>
    <t>P-SA-062</t>
  </si>
  <si>
    <t>Samsung Exynos 2100
S5E9840</t>
  </si>
  <si>
    <t>2400 × 1080</t>
  </si>
  <si>
    <t>판교</t>
  </si>
  <si>
    <t>P-SA-063</t>
  </si>
  <si>
    <t>3200 × 1440</t>
  </si>
  <si>
    <t>P-SA-064</t>
  </si>
  <si>
    <t>Samsung Exynos 2200
S5E9925</t>
  </si>
  <si>
    <t>P-SA-065</t>
  </si>
  <si>
    <t>P-SA-066</t>
  </si>
  <si>
    <t>P-SA-067</t>
  </si>
  <si>
    <t>Galaxy Z Flip3</t>
  </si>
  <si>
    <t>6.7" 
1.9"</t>
  </si>
  <si>
    <t>2640 x 1080
512 x 260</t>
  </si>
  <si>
    <t>P-SA-068</t>
  </si>
  <si>
    <t>Galaxy Z Fold3</t>
  </si>
  <si>
    <t>P-SA-069</t>
  </si>
  <si>
    <t>P-SA-070</t>
  </si>
  <si>
    <t>Galaxy S21+</t>
  </si>
  <si>
    <t>P-SA-071</t>
  </si>
  <si>
    <t>P-SA-072</t>
  </si>
  <si>
    <t>Samsung Exynos 1280
S5E8825</t>
  </si>
  <si>
    <t>P-SA-073</t>
  </si>
  <si>
    <t>Galaxy Quantum3</t>
  </si>
  <si>
    <t>P-SA-074</t>
  </si>
  <si>
    <t>Galaxy Z Flip4</t>
  </si>
  <si>
    <t>Qualcomm Snapdragon 8+ Gen 1
SM8475"</t>
  </si>
  <si>
    <t>P-SA-075</t>
  </si>
  <si>
    <t>Galaxy Z Fold4</t>
  </si>
  <si>
    <t>P-SA-078</t>
  </si>
  <si>
    <t>P-SA-079</t>
  </si>
  <si>
    <t>P-SA-080</t>
  </si>
  <si>
    <t>P-SA-081</t>
  </si>
  <si>
    <t>P-SA-083</t>
  </si>
  <si>
    <t>P-SA-084</t>
  </si>
  <si>
    <t>P-SA-086</t>
  </si>
  <si>
    <t>P-TA-001</t>
  </si>
  <si>
    <t>Xperia Z3 Tablet Compact</t>
  </si>
  <si>
    <t>Qualcomm Snapdragon 801
 MSM8974AC</t>
    <phoneticPr fontId="2" type="noConversion"/>
  </si>
  <si>
    <t>P-TA-002</t>
  </si>
  <si>
    <t>2560 x 1600</t>
    <phoneticPr fontId="2" type="noConversion"/>
  </si>
  <si>
    <t>P-TA-003</t>
  </si>
  <si>
    <t>P-TA-004</t>
  </si>
  <si>
    <t>P-TA-005</t>
  </si>
  <si>
    <t>P-TA-006</t>
  </si>
  <si>
    <t>UNISOC T618 LTE Platform</t>
  </si>
  <si>
    <t>P-TA-007</t>
  </si>
  <si>
    <t xml:space="preserve">Galaxy Tap S8 </t>
  </si>
  <si>
    <t>P-TA-008</t>
  </si>
  <si>
    <t xml:space="preserve">Galaxy Tap S8+ </t>
  </si>
  <si>
    <t>P-TA-009</t>
  </si>
  <si>
    <t xml:space="preserve">Galaxy Tap A8 </t>
  </si>
  <si>
    <t>A-SI-001</t>
  </si>
  <si>
    <t>iPhone 7</t>
  </si>
  <si>
    <t>Apple A10 Fusion
APL1W24</t>
  </si>
  <si>
    <t xml:space="preserve"> 15.7.0</t>
  </si>
  <si>
    <t>A-SI-002</t>
  </si>
  <si>
    <t>iPhone 8+</t>
  </si>
  <si>
    <t>Apple A11 Bionic
APL1W72</t>
  </si>
  <si>
    <t xml:space="preserve"> 15.1.0</t>
  </si>
  <si>
    <t>A-SI-003</t>
  </si>
  <si>
    <t xml:space="preserve"> 16.7.10</t>
  </si>
  <si>
    <t>A-SI-004</t>
  </si>
  <si>
    <t>iPhone 8</t>
  </si>
  <si>
    <t xml:space="preserve"> 14.2.0</t>
  </si>
  <si>
    <t>A-SI-005</t>
  </si>
  <si>
    <t xml:space="preserve"> 13.7.0</t>
  </si>
  <si>
    <t>A-SI-006</t>
  </si>
  <si>
    <t xml:space="preserve"> 17.4.1</t>
  </si>
  <si>
    <t>A-SI-007</t>
  </si>
  <si>
    <t>iPhone SE (2nd)</t>
  </si>
  <si>
    <t>A-SI-008</t>
  </si>
  <si>
    <t xml:space="preserve"> 16.3.0</t>
  </si>
  <si>
    <t>A-SI-009</t>
  </si>
  <si>
    <t>iPhone 13</t>
  </si>
  <si>
    <t>Apple A15 Bionic
APL1W07</t>
  </si>
  <si>
    <t xml:space="preserve"> 15.5.0</t>
  </si>
  <si>
    <t>A-SI-011</t>
  </si>
  <si>
    <t>iPhone 12</t>
  </si>
  <si>
    <t>Apple A14 Bionic
APL1W01</t>
  </si>
  <si>
    <t xml:space="preserve"> 26.1.0</t>
  </si>
  <si>
    <t>A-SI-012</t>
  </si>
  <si>
    <t xml:space="preserve"> 16.6.0</t>
  </si>
  <si>
    <t>A-SI-013</t>
  </si>
  <si>
    <t>iPhone 12 Pro Max</t>
  </si>
  <si>
    <t>2778 x 1284</t>
  </si>
  <si>
    <t xml:space="preserve"> 14.5.0</t>
  </si>
  <si>
    <t>A-SI-014</t>
  </si>
  <si>
    <t>iPhone 12 Mini</t>
  </si>
  <si>
    <t xml:space="preserve"> 18.3.1</t>
  </si>
  <si>
    <t>A-SI-015</t>
  </si>
  <si>
    <t>iPhone 13 Mini</t>
  </si>
  <si>
    <t>A-SI-017</t>
  </si>
  <si>
    <t>iPhone 13 Pro</t>
  </si>
  <si>
    <t>A-SI-018</t>
  </si>
  <si>
    <t>iPhone 13 Pro Max</t>
  </si>
  <si>
    <t>A-SI-019</t>
  </si>
  <si>
    <t>iPhone 14</t>
  </si>
  <si>
    <t xml:space="preserve"> 17.0.3</t>
  </si>
  <si>
    <t>A-SI-020</t>
  </si>
  <si>
    <t>iPhone 14+</t>
  </si>
  <si>
    <t>2778 × 1284</t>
  </si>
  <si>
    <t xml:space="preserve"> 18.4.1</t>
  </si>
  <si>
    <t>A-SI-021</t>
  </si>
  <si>
    <t>iPhone 14 Pro</t>
  </si>
  <si>
    <t>Apple A16 Bionic
APL1W10</t>
  </si>
  <si>
    <t>2556 x 1179</t>
  </si>
  <si>
    <t>A-SI-023</t>
  </si>
  <si>
    <t>iPhone 15</t>
  </si>
  <si>
    <t xml:space="preserve"> 18.7.1</t>
  </si>
  <si>
    <t>A-SI-024</t>
  </si>
  <si>
    <t>iPhone 15+</t>
  </si>
  <si>
    <t>2796 x 1290</t>
  </si>
  <si>
    <t>A-SI-025</t>
  </si>
  <si>
    <t>iPhone 15 Pro</t>
  </si>
  <si>
    <t xml:space="preserve"> 18.1.0</t>
  </si>
  <si>
    <t>A-SI-027</t>
  </si>
  <si>
    <t>Apple A18
APL1V08</t>
  </si>
  <si>
    <t xml:space="preserve"> 26.0.1</t>
  </si>
  <si>
    <t>A-SI-029</t>
  </si>
  <si>
    <t>iPhone 16+</t>
    <phoneticPr fontId="2" type="noConversion"/>
  </si>
  <si>
    <t>2796 x 1290</t>
    <phoneticPr fontId="2" type="noConversion"/>
  </si>
  <si>
    <t>A-SI-030</t>
  </si>
  <si>
    <t>iPhone 16 Pro Max</t>
    <phoneticPr fontId="2" type="noConversion"/>
  </si>
  <si>
    <t>Apple A18 Pro
APL1V07</t>
  </si>
  <si>
    <t>6.9"</t>
    <phoneticPr fontId="2" type="noConversion"/>
  </si>
  <si>
    <t>2868 x 1320</t>
    <phoneticPr fontId="2" type="noConversion"/>
  </si>
  <si>
    <t>A-TI-001</t>
  </si>
  <si>
    <t>iPad Pro (2nd) 11 (Wifi)</t>
  </si>
  <si>
    <t>Apple A12Z Bionic
APL1083</t>
  </si>
  <si>
    <t>11.0"</t>
  </si>
  <si>
    <t>2388 x 1668</t>
    <phoneticPr fontId="2" type="noConversion"/>
  </si>
  <si>
    <t xml:space="preserve"> 17.2.0</t>
  </si>
  <si>
    <t>A-TI-002</t>
  </si>
  <si>
    <t>iPad Air (4th) 10.9 (Wifi)</t>
  </si>
  <si>
    <t>10.9"</t>
  </si>
  <si>
    <t>A-TI-003</t>
  </si>
  <si>
    <t>iPad (9th) 10.2 (Wifi)</t>
  </si>
  <si>
    <t>10.2"</t>
  </si>
  <si>
    <t>2160 x 1620</t>
    <phoneticPr fontId="2" type="noConversion"/>
  </si>
  <si>
    <t>A-TI-004</t>
  </si>
  <si>
    <t>iPad Mini (6th)</t>
  </si>
  <si>
    <t>2266 x 1488</t>
  </si>
  <si>
    <t xml:space="preserve"> 17.6.1</t>
  </si>
  <si>
    <t>SI-002</t>
  </si>
  <si>
    <t>iPhone 6+ (SKT)</t>
  </si>
  <si>
    <t>Apple A8
APL1011</t>
  </si>
  <si>
    <t>1920 × 1080</t>
  </si>
  <si>
    <t xml:space="preserve"> 12.5.7</t>
  </si>
  <si>
    <t>SI-004</t>
  </si>
  <si>
    <t>iPhone 7 (KT)</t>
  </si>
  <si>
    <t xml:space="preserve"> 12.1.4</t>
  </si>
  <si>
    <t>SI-005</t>
  </si>
  <si>
    <t>SI-006</t>
  </si>
  <si>
    <t>iPhone 7+ (SKT)</t>
  </si>
  <si>
    <t xml:space="preserve"> 12.4.0</t>
  </si>
  <si>
    <t>SI-007</t>
  </si>
  <si>
    <t xml:space="preserve"> 15.7.7</t>
  </si>
  <si>
    <t>SI-008</t>
  </si>
  <si>
    <t>iPhone 8 (KT)</t>
  </si>
  <si>
    <t>SI-009</t>
  </si>
  <si>
    <t>iPhone 8+ (KT)</t>
  </si>
  <si>
    <t>5.5”</t>
  </si>
  <si>
    <t>SI-011</t>
  </si>
  <si>
    <t>iPhone X (WIFI)</t>
  </si>
  <si>
    <t xml:space="preserve"> 13.1.3</t>
  </si>
  <si>
    <t>SI-012</t>
  </si>
  <si>
    <t>iPhone XS (WIFI)</t>
  </si>
  <si>
    <t>Apple A12 Bionic
APL1W81</t>
  </si>
  <si>
    <t>5.8”</t>
  </si>
  <si>
    <t xml:space="preserve"> 16.5.1</t>
  </si>
  <si>
    <t>SI-013</t>
  </si>
  <si>
    <t>iPhone XS MAX (WIFI)</t>
  </si>
  <si>
    <t>SI-014</t>
  </si>
  <si>
    <t>iPhone XR</t>
  </si>
  <si>
    <t>TI-001</t>
  </si>
  <si>
    <t>iPad (4th) 9.7 (Wifi)</t>
  </si>
  <si>
    <t>Apple A9X
APL1021</t>
  </si>
  <si>
    <t>2048 x 1536</t>
    <phoneticPr fontId="2" type="noConversion"/>
  </si>
  <si>
    <t xml:space="preserve"> 10.3.3</t>
  </si>
  <si>
    <t>TI-002</t>
  </si>
  <si>
    <t>iPad Mini (3rd) 7.9 3G</t>
  </si>
  <si>
    <t>7.9"</t>
  </si>
  <si>
    <t xml:space="preserve"> 9.3.6</t>
  </si>
  <si>
    <t>TI-003</t>
  </si>
  <si>
    <t>iPad Mini (1st) 7.9 (Wifi)</t>
  </si>
  <si>
    <t>Apple A5
S5L8940-APL0498</t>
  </si>
  <si>
    <t>768 x 1024</t>
    <phoneticPr fontId="2" type="noConversion"/>
  </si>
  <si>
    <t xml:space="preserve"> 9.3.5</t>
  </si>
  <si>
    <t>TI-006</t>
  </si>
  <si>
    <t>iPad Air (2nd) 9.7</t>
  </si>
  <si>
    <t>Apple A8X
APL1012</t>
  </si>
  <si>
    <t>TI-007</t>
  </si>
  <si>
    <t>iPad (5th) 9.7</t>
  </si>
  <si>
    <t>Apple A9
APL0898</t>
  </si>
  <si>
    <t xml:space="preserve"> 16.7.4</t>
  </si>
  <si>
    <t>TI-008</t>
  </si>
  <si>
    <t>iPad Pro (1st) 10.5</t>
  </si>
  <si>
    <t>Apple A10X Fusion
APL1071</t>
  </si>
  <si>
    <t>2224 x 1668</t>
    <phoneticPr fontId="2" type="noConversion"/>
  </si>
  <si>
    <t>TI-009</t>
  </si>
  <si>
    <t>iPad 2018 9.7 (Wifi)</t>
  </si>
  <si>
    <t>2047 x 1536</t>
    <phoneticPr fontId="2" type="noConversion"/>
  </si>
  <si>
    <t>TI-010</t>
  </si>
  <si>
    <t>iPad Pro (3rd) 12.9 (Wifi)</t>
  </si>
  <si>
    <t>Apple A12X Bionic
APL1083</t>
  </si>
  <si>
    <t>12.9"</t>
  </si>
  <si>
    <t>2732 x 2048</t>
    <phoneticPr fontId="2" type="noConversion"/>
  </si>
  <si>
    <t xml:space="preserve"> 18.7.2</t>
  </si>
  <si>
    <t>TI-011</t>
  </si>
  <si>
    <t>iPad Air (3rd) 10.5 (WIFI)</t>
  </si>
  <si>
    <t>TI-012</t>
  </si>
  <si>
    <t>iPad Mini (5th) 7.9 (Wifi)</t>
  </si>
  <si>
    <t xml:space="preserve"> 13.0.0</t>
  </si>
  <si>
    <t>P-SI-001</t>
  </si>
  <si>
    <t>iPhone 7+</t>
  </si>
  <si>
    <t xml:space="preserve"> 15.7.3</t>
  </si>
  <si>
    <t>P-SI-002</t>
  </si>
  <si>
    <t>P-SI-003</t>
  </si>
  <si>
    <t xml:space="preserve"> 14.7.1</t>
  </si>
  <si>
    <t>P-SI-004</t>
  </si>
  <si>
    <t>P-SI-006</t>
  </si>
  <si>
    <t xml:space="preserve"> 15.2.0</t>
  </si>
  <si>
    <t>P-SI-007</t>
  </si>
  <si>
    <t>iPhone SE(2세대)</t>
  </si>
  <si>
    <t xml:space="preserve"> 18.5.0</t>
  </si>
  <si>
    <t>P-SI-008</t>
  </si>
  <si>
    <t>6.1”</t>
  </si>
  <si>
    <t>P-SI-009</t>
  </si>
  <si>
    <t>iPhone 11</t>
  </si>
  <si>
    <t>6.06"</t>
  </si>
  <si>
    <t xml:space="preserve"> 17.5.1</t>
  </si>
  <si>
    <t>P-SI-010</t>
  </si>
  <si>
    <t xml:space="preserve"> 18.3.2</t>
  </si>
  <si>
    <t>P-SI-011</t>
  </si>
  <si>
    <t>iPhone SE(3세대)</t>
  </si>
  <si>
    <t>P-SI-012</t>
  </si>
  <si>
    <t>P-SI-013</t>
  </si>
  <si>
    <t xml:space="preserve"> 17.4.0</t>
  </si>
  <si>
    <t>P-SI-014</t>
  </si>
  <si>
    <t>P-SI-015</t>
  </si>
  <si>
    <t>P-SI-016</t>
  </si>
  <si>
    <t>P-SI-017</t>
  </si>
  <si>
    <t xml:space="preserve"> 17.3.1</t>
  </si>
  <si>
    <t>P-SI-018</t>
  </si>
  <si>
    <t>P-SI-019</t>
  </si>
  <si>
    <t>iPhone 14 Pro Max</t>
  </si>
  <si>
    <t>2796 × 1290</t>
  </si>
  <si>
    <t>P-SI-020</t>
  </si>
  <si>
    <t>iPhone XS</t>
  </si>
  <si>
    <t>2436 × 1125</t>
  </si>
  <si>
    <t>P-SI-021</t>
  </si>
  <si>
    <t xml:space="preserve"> 18.6.2</t>
  </si>
  <si>
    <t>P-SI-022</t>
  </si>
  <si>
    <t>P-SI-023</t>
  </si>
  <si>
    <t>Apple A17 Pro Bionic
APL1V02</t>
  </si>
  <si>
    <t>P-SI-024</t>
  </si>
  <si>
    <t>iPhone 15 Pro Max</t>
  </si>
  <si>
    <t>P-SI-025</t>
  </si>
  <si>
    <t>iPhone 16</t>
  </si>
  <si>
    <t>Apple A18
APL1V0</t>
  </si>
  <si>
    <t>P-SI-026</t>
  </si>
  <si>
    <t>iPhone 16 Pro</t>
  </si>
  <si>
    <t>2622 x 1206</t>
    <phoneticPr fontId="2" type="noConversion"/>
  </si>
  <si>
    <t>P-SI-027</t>
  </si>
  <si>
    <t>iPhone 16+</t>
  </si>
  <si>
    <t>P-SI-029</t>
  </si>
  <si>
    <t>iPhone 16e</t>
  </si>
  <si>
    <t>P-SI-030</t>
  </si>
  <si>
    <t>P-SI-031</t>
  </si>
  <si>
    <t>P-SI-032</t>
  </si>
  <si>
    <t>P-SI-033</t>
  </si>
  <si>
    <t>P-SI-034</t>
  </si>
  <si>
    <t>iPhone SE(3rd)</t>
  </si>
  <si>
    <t>P-SI-035</t>
  </si>
  <si>
    <t>P-SI-036</t>
  </si>
  <si>
    <t>P-SI-037</t>
  </si>
  <si>
    <t>P-SI-038</t>
  </si>
  <si>
    <t>P-SI-039</t>
  </si>
  <si>
    <t>P-SI-040</t>
  </si>
  <si>
    <t>P-SI-041</t>
  </si>
  <si>
    <t>P-SI-042</t>
  </si>
  <si>
    <t>P-TI-001</t>
  </si>
  <si>
    <t>iPad 9.7 (5th) (Wifi)</t>
  </si>
  <si>
    <t>Apple A9 
APL0898 &amp; APL1022</t>
  </si>
  <si>
    <t>P-TI-002</t>
  </si>
  <si>
    <t>P-TI-003</t>
  </si>
  <si>
    <t>iPad (9th) 10.2</t>
  </si>
  <si>
    <t>테스트 기기  보유 현황 (디지털콘텐츠기업성장지원센터-판교)</t>
    <phoneticPr fontId="2" type="noConversion"/>
  </si>
  <si>
    <t>번호</t>
    <phoneticPr fontId="2" type="noConversion"/>
  </si>
  <si>
    <t xml:space="preserve"> 6.0.1</t>
  </si>
  <si>
    <t xml:space="preserve"> 8.0.0</t>
  </si>
  <si>
    <t xml:space="preserve"> 9.0.0</t>
  </si>
  <si>
    <t xml:space="preserve"> 8.1.0</t>
  </si>
  <si>
    <t>P-SA-013</t>
  </si>
  <si>
    <t>Qualcomm Snapdragon 435
MSM8940</t>
    <phoneticPr fontId="2" type="noConversion"/>
  </si>
  <si>
    <t xml:space="preserve"> 7.1.1</t>
  </si>
  <si>
    <t xml:space="preserve"> 6.0.0</t>
  </si>
  <si>
    <t xml:space="preserve"> 10.0.0</t>
  </si>
  <si>
    <t xml:space="preserve"> 12.0.0</t>
  </si>
  <si>
    <t xml:space="preserve"> 11.0.0</t>
  </si>
  <si>
    <t xml:space="preserve"> 14.0.0</t>
  </si>
  <si>
    <t xml:space="preserve"> 5.0.2</t>
  </si>
  <si>
    <t>1920 x 1200</t>
    <phoneticPr fontId="2" type="noConversion"/>
  </si>
  <si>
    <t xml:space="preserve"> 13.2.3</t>
  </si>
  <si>
    <t xml:space="preserve"> 13.4.1</t>
  </si>
  <si>
    <t xml:space="preserve"> 17.5.0</t>
  </si>
  <si>
    <t>Apple A9
APL0898 &amp; APL1022</t>
  </si>
  <si>
    <t>테스트 기기 (전체 리스트)</t>
    <phoneticPr fontId="2" type="noConversion"/>
  </si>
  <si>
    <t>화면크기</t>
    <phoneticPr fontId="2" type="noConversion"/>
  </si>
  <si>
    <t>Samsung Exynos Quad 4412</t>
  </si>
  <si>
    <t>GD_A_022</t>
  </si>
  <si>
    <t>5.72"</t>
  </si>
  <si>
    <t>5.68"</t>
  </si>
  <si>
    <t>GD_A_030</t>
  </si>
  <si>
    <t>GD_A_034</t>
  </si>
  <si>
    <t>6.18"</t>
  </si>
  <si>
    <t>2246 x 1080</t>
  </si>
  <si>
    <t>Qualcomm Adreno 512 650 Mhz</t>
  </si>
  <si>
    <t>GD_A_036</t>
  </si>
  <si>
    <t>Galaxy S10</t>
  </si>
  <si>
    <t>GD_A_040</t>
  </si>
  <si>
    <t>5.65”</t>
  </si>
  <si>
    <t>5.84”</t>
  </si>
  <si>
    <t>GD_A_042</t>
  </si>
  <si>
    <t>6.5”</t>
  </si>
  <si>
    <t>GD_A_043</t>
  </si>
  <si>
    <t>Razer 2</t>
  </si>
  <si>
    <t>GD_A_046</t>
  </si>
  <si>
    <t>GD_A_050</t>
  </si>
  <si>
    <t>Black Shark 2</t>
  </si>
  <si>
    <t>6.39”</t>
  </si>
  <si>
    <t>GD_A_059</t>
  </si>
  <si>
    <t>Galaxy S20 FE</t>
  </si>
  <si>
    <t>GD_A_060</t>
  </si>
  <si>
    <t>Qualcomm Kryo 570 MP2 2.2 GHz
Qualcomm Kryo 570 MP6 1.8 GHz</t>
  </si>
  <si>
    <t>Qualcomm Adreno 619 800 MHz</t>
  </si>
  <si>
    <t>Qualcomm Kryo 260 Gold MP4 2.0 GHz
Qualcomm Kryo 260 Silver MP4 1.8 GHz</t>
  </si>
  <si>
    <t>AQUOS Sense 3</t>
  </si>
  <si>
    <t>Xperia ACE</t>
  </si>
  <si>
    <t>1600 x 700</t>
  </si>
  <si>
    <t>Xperia XZ2</t>
  </si>
  <si>
    <t>Arrows U</t>
  </si>
  <si>
    <t>AQUOS Sense</t>
  </si>
  <si>
    <t>ARM Cortex-A53 MP4 1.4 GHz
ARM Cortex-A53 MP4 1.61 GHz</t>
  </si>
  <si>
    <t>Qualcomm Adreno 505 450 MHz</t>
  </si>
  <si>
    <t>AQUOS R2</t>
  </si>
  <si>
    <t>Galaxy A53 5G</t>
  </si>
  <si>
    <t>ARM Mali-G68</t>
  </si>
  <si>
    <t>Galaxy S22 5G</t>
  </si>
  <si>
    <t>Qualcomm Kryo 585 Gold MP1 3.09 GHz
Qualcomm Kryo 585 Gold MP3 2.42 GHz
Qualcomm Kryo 585 Silver MP4 1.80 GHz</t>
  </si>
  <si>
    <t>Qualcomm Adreno 650 670 MHz</t>
  </si>
  <si>
    <t>GD_A_077</t>
  </si>
  <si>
    <t>Galaxy S21 5G</t>
  </si>
  <si>
    <t>Galaxy A32 5G</t>
  </si>
  <si>
    <t>1600 x 720</t>
  </si>
  <si>
    <t>GD_A_080</t>
  </si>
  <si>
    <t>Pixel 6a</t>
  </si>
  <si>
    <t>Galaxy S20 Ultra 5G</t>
  </si>
  <si>
    <t>Galaxy S20+ 5G</t>
  </si>
  <si>
    <t>GD_A_084</t>
  </si>
  <si>
    <t>Galaxy Tab S7+</t>
  </si>
  <si>
    <t>Galaxy M53</t>
  </si>
  <si>
    <t>ARM Mali-G68 MP4 900 MHz</t>
  </si>
  <si>
    <t>Xperia Ace II</t>
  </si>
  <si>
    <t>Galaxy Tab S8</t>
  </si>
  <si>
    <t>2560 x 1500</t>
  </si>
  <si>
    <t>GD_A_092</t>
  </si>
  <si>
    <t>ARM Mali-G615 MC6</t>
  </si>
  <si>
    <t>2712 x 1220</t>
  </si>
  <si>
    <t>GD_A_093</t>
  </si>
  <si>
    <t>GD_A_094</t>
  </si>
  <si>
    <t>Galaxy A55</t>
  </si>
  <si>
    <t>GD_A_095</t>
  </si>
  <si>
    <t>Pixel 8a</t>
  </si>
  <si>
    <t>GD_A_096</t>
  </si>
  <si>
    <t>GD_A_097</t>
  </si>
  <si>
    <t>GD_A_098</t>
  </si>
  <si>
    <t>GD_A_099</t>
  </si>
  <si>
    <t>Galaxy A54</t>
  </si>
  <si>
    <t>2208 x 1768
2326 x 840</t>
  </si>
  <si>
    <t>2176 × 1812
2316 × 904</t>
  </si>
  <si>
    <t>6.53"</t>
  </si>
  <si>
    <t>Qualcomm Snapdragon 652
MSM8976</t>
  </si>
  <si>
    <t>MediaTek MT6750</t>
  </si>
  <si>
    <t>2208 X 1768
2268 X 832</t>
  </si>
  <si>
    <t>GD_i_001</t>
  </si>
  <si>
    <t>iPhone 4S</t>
  </si>
  <si>
    <t>ARM Cortex-A9 MP2 800 MHz</t>
  </si>
  <si>
    <t>IT PowerVR SGX543 MP2 266 MHz</t>
  </si>
  <si>
    <t>3.5"</t>
  </si>
  <si>
    <t>GD_i_002</t>
  </si>
  <si>
    <t>Apple A6
S5L8950-APL0598</t>
  </si>
  <si>
    <t>Apple Swift MP2 1.3 GHz</t>
  </si>
  <si>
    <t>IT PowerVR SGX543 MP3 350 MHz</t>
  </si>
  <si>
    <t>4"</t>
  </si>
  <si>
    <t>Apple Typhoon MP2 1.4 GHz</t>
  </si>
  <si>
    <t>IT  PowerVR GX6450 430 MHz</t>
  </si>
  <si>
    <t>10.2.1</t>
  </si>
  <si>
    <t>iPhone 6+</t>
  </si>
  <si>
    <t>GD_i_008</t>
  </si>
  <si>
    <t>iPad Air 2</t>
  </si>
  <si>
    <t>IT PowerVR GX6850 475 MHz</t>
  </si>
  <si>
    <t>15.7.1</t>
  </si>
  <si>
    <t>iPhone 6S+</t>
  </si>
  <si>
    <t>11.4.1</t>
  </si>
  <si>
    <t>GD_i_015</t>
  </si>
  <si>
    <t>GD_i_016</t>
  </si>
  <si>
    <t>GD_i_017</t>
  </si>
  <si>
    <t>iPad Pro 11형(3세대)</t>
  </si>
  <si>
    <t>Apple M1 APL1102</t>
  </si>
  <si>
    <t xml:space="preserve">Apple Firestorm MP4 0.6GHz ~ 3.2 GHz 
Apple Icestorm MP4 0.6GHz ~ 2.06GHz </t>
  </si>
  <si>
    <t>GD_i_018</t>
  </si>
  <si>
    <t>iPad(7세대)</t>
  </si>
  <si>
    <t>Apple Hurricane MP2 2.3 GHz
Apple Zephyr MP2 1.1 GHz</t>
  </si>
  <si>
    <t>IT PowerVR GT7600 MP6 900 MHz</t>
  </si>
  <si>
    <t>16.6.1</t>
  </si>
  <si>
    <t>GD_i_019</t>
  </si>
  <si>
    <t>GD_i_021</t>
  </si>
  <si>
    <t>iPhone SE2</t>
  </si>
  <si>
    <t>4.7”</t>
  </si>
  <si>
    <t>GD_i_022</t>
  </si>
  <si>
    <t>iPad Air 4</t>
  </si>
  <si>
    <t>10.9”</t>
  </si>
  <si>
    <t>GD_i_025</t>
  </si>
  <si>
    <t>17.5.1</t>
  </si>
  <si>
    <t>GD_i_029</t>
  </si>
  <si>
    <t>iPad Mini 5</t>
  </si>
  <si>
    <t>7.9”</t>
  </si>
  <si>
    <t>GD_i_031</t>
  </si>
  <si>
    <t>iPhone SE 3rd</t>
  </si>
  <si>
    <t>15.4.1</t>
  </si>
  <si>
    <t>GD_i_033</t>
  </si>
  <si>
    <t>iPad mini 6th</t>
  </si>
  <si>
    <t>GD_i_035</t>
  </si>
  <si>
    <t>GD_i_036</t>
  </si>
  <si>
    <t>iPhone 12 Pro</t>
  </si>
  <si>
    <t>18</t>
  </si>
  <si>
    <t>GD_i_037</t>
  </si>
  <si>
    <t>GD_i_038</t>
  </si>
  <si>
    <t>16.6</t>
  </si>
  <si>
    <t>GD_i_039</t>
  </si>
  <si>
    <t>iPhone 13 mini</t>
  </si>
  <si>
    <t>GD_i_040</t>
  </si>
  <si>
    <t>GD_i_041</t>
  </si>
  <si>
    <t>GD_i_043</t>
  </si>
  <si>
    <t>GD_i_044</t>
  </si>
  <si>
    <t>17.6</t>
  </si>
  <si>
    <t>GD_i_045</t>
  </si>
  <si>
    <t>Apple Everest 3.78 GHz
Apple Sawtooth 2.11 GHz</t>
  </si>
  <si>
    <t>Apple G16 MP6 1,398 MHz</t>
  </si>
  <si>
    <t>GD_i_046</t>
  </si>
  <si>
    <t>iPad Air(5세대)</t>
  </si>
  <si>
    <t>Apple Firestorm 0.6GHz
Apple Icestorm 0.6GHz</t>
  </si>
  <si>
    <t>Apple A18 Bionic
APL1V08</t>
  </si>
  <si>
    <t>Apple Everest 4.04 GHz
Apple Sawtooth 2.40 GHz</t>
  </si>
  <si>
    <t>Apple G16 MP5 1.47 GHz</t>
  </si>
  <si>
    <t>768 x 1024</t>
  </si>
  <si>
    <t>2224 x 1668</t>
  </si>
  <si>
    <t>2047 x 1536</t>
  </si>
  <si>
    <t>Vega Secret Note</t>
  </si>
  <si>
    <t>Galaxy Note 4</t>
  </si>
  <si>
    <t>LG G5</t>
  </si>
  <si>
    <t>LG G6 ThinQ</t>
  </si>
  <si>
    <t>GD_A_032</t>
  </si>
  <si>
    <t>LG G7 ThinQ</t>
  </si>
  <si>
    <t>POCO F1</t>
  </si>
  <si>
    <t>Honor 8X</t>
  </si>
  <si>
    <t>LG G8 ThinQ</t>
  </si>
  <si>
    <t>LG V40 ThinQ</t>
  </si>
  <si>
    <t>LG WING</t>
  </si>
  <si>
    <t>Qualcomm Snapdragon 765G
SM7250-AB</t>
  </si>
  <si>
    <t xml:space="preserve">Qualcomm Kryo 475 Gold MP1 2.4 GHz
Qualcomm Kryo 475 Gold MP1 2.2 GHz 
Qualcomm Kryo 475 Silver MP6 1.8 GHz </t>
  </si>
  <si>
    <t>Qualcomm Adreno 620 625 MHz</t>
  </si>
  <si>
    <t>RedMi Note 9T</t>
  </si>
  <si>
    <t>MediaTek Dimensity 800U</t>
  </si>
  <si>
    <t>ARM Cortex-A76 MP2 2.4 GHz
ARM Cortex-A55 MP6 2.0 GHz</t>
  </si>
  <si>
    <t>ARM Mali-G57 MC3 950 MHz</t>
  </si>
  <si>
    <t>POCO X3 NFC</t>
  </si>
  <si>
    <t>Qualcomm Snapdragon 732G
SM7150-AC</t>
  </si>
  <si>
    <t>Qualcomm Kryo 470 Gold MP2 2.4 GHz
Qualcomm Kryo 470 Silver MP 6 1.8 GHz</t>
  </si>
  <si>
    <t>Qualcomm Adreno 618 800 MHz</t>
  </si>
  <si>
    <t>GD_A_065</t>
  </si>
  <si>
    <t>Redmi Note 9</t>
  </si>
  <si>
    <t>MediaTek Helio G85
MT6769Z</t>
  </si>
  <si>
    <t>ARM Cortex-A75 MP2 2.0 GHz
ARM Cortex-A55 MP6 1.8 GHz</t>
  </si>
  <si>
    <t>ARM Mali-G52 2EEMC2 1GHz</t>
  </si>
  <si>
    <t>Redmi Note 8</t>
  </si>
  <si>
    <t>Xiaomi 12 Lite</t>
  </si>
  <si>
    <t>Galaxy A42 5G</t>
  </si>
  <si>
    <t>Qualcomm Kryo 570 Gold MP2 2.2 GHz
Qualcomm Kryo 570 Silver MP6 1.8 GHz</t>
  </si>
  <si>
    <t>Adreno 619 800 MHz</t>
  </si>
  <si>
    <t>Pixel 7</t>
  </si>
  <si>
    <t>Google Tensor G2 SoC</t>
  </si>
  <si>
    <t>ARM Cortex-X1 MP2 2.85 GHz
+ ARM Cortex-A78 MP2 2.35 GHz
+ ARM Cortex-A55 MP4 1.80 GHz</t>
  </si>
  <si>
    <t>ARM Mali-G710 MP7</t>
  </si>
  <si>
    <t>POCO X6 Pro</t>
  </si>
  <si>
    <t>Redmi Note 13 Pro</t>
  </si>
  <si>
    <t>Galaxy Z Flip5</t>
  </si>
  <si>
    <t>Galaxy Z Fold5</t>
  </si>
  <si>
    <t>-</t>
  </si>
  <si>
    <t>2960 x 1440?</t>
  </si>
  <si>
    <t>13.3</t>
  </si>
  <si>
    <t>Apple G13X MP8 1.28GHz</t>
  </si>
  <si>
    <t>13.7</t>
  </si>
  <si>
    <t>18.6.2</t>
  </si>
  <si>
    <t>26.0
(23A341)</t>
  </si>
  <si>
    <t>26.2.1</t>
  </si>
  <si>
    <t>GD_i_047</t>
  </si>
  <si>
    <t>18.5</t>
  </si>
  <si>
    <t>17.4</t>
  </si>
  <si>
    <t>iPhone 16 Pro Max</t>
  </si>
  <si>
    <t>2868 x 1320</t>
  </si>
  <si>
    <t>18.1</t>
  </si>
  <si>
    <t>17.7</t>
  </si>
  <si>
    <t>2622 x 1206</t>
  </si>
  <si>
    <t>26</t>
  </si>
  <si>
    <t>26.1</t>
  </si>
  <si>
    <t>Galaxy Z Fold 3</t>
    <phoneticPr fontId="2" type="noConversion"/>
  </si>
  <si>
    <t>Galaxy Z Fold 4</t>
    <phoneticPr fontId="2" type="noConversion"/>
  </si>
  <si>
    <t>Galaxy Z Fold 7</t>
    <phoneticPr fontId="2" type="noConversion"/>
  </si>
  <si>
    <t>Galaxy Z Fold 6</t>
    <phoneticPr fontId="2" type="noConversion"/>
  </si>
  <si>
    <t>Galaxy Z Flip 6</t>
    <phoneticPr fontId="2" type="noConversion"/>
  </si>
  <si>
    <t>Galaxy Z Flip 7</t>
    <phoneticPr fontId="2" type="noConversion"/>
  </si>
  <si>
    <t>Galaxy Z Flip 4</t>
    <phoneticPr fontId="2" type="noConversion"/>
  </si>
  <si>
    <t>Galaxy Z Flip 3</t>
    <phoneticPr fontId="2" type="noConversion"/>
  </si>
  <si>
    <t>#204</t>
    <phoneticPr fontId="2" type="noConversion"/>
  </si>
  <si>
    <t>GD_i_036 iPhone 12 Pro 최신 유지 디바이스 OS 업데이트 (26.2 -&gt; 26.3.1(a))</t>
    <phoneticPr fontId="2" type="noConversion"/>
  </si>
  <si>
    <t>GD_A_105</t>
    <phoneticPr fontId="2" type="noConversion"/>
  </si>
  <si>
    <t>GD_A_104</t>
    <phoneticPr fontId="2" type="noConversion"/>
  </si>
  <si>
    <t>GD_A_106</t>
    <phoneticPr fontId="2" type="noConversion"/>
  </si>
  <si>
    <t>GD_A_107</t>
    <phoneticPr fontId="2" type="noConversion"/>
  </si>
  <si>
    <t>GD_A_108</t>
    <phoneticPr fontId="2" type="noConversion"/>
  </si>
  <si>
    <t>GD_A_109</t>
    <phoneticPr fontId="2" type="noConversion"/>
  </si>
  <si>
    <t>PAD</t>
    <phoneticPr fontId="2" type="noConversion"/>
  </si>
  <si>
    <t>Galaxy A17</t>
    <phoneticPr fontId="2" type="noConversion"/>
  </si>
  <si>
    <t>Galaxy Tap A9</t>
    <phoneticPr fontId="2" type="noConversion"/>
  </si>
  <si>
    <t>REDMI 15</t>
    <phoneticPr fontId="2" type="noConversion"/>
  </si>
  <si>
    <t>Xiaomi 14T</t>
    <phoneticPr fontId="2" type="noConversion"/>
  </si>
  <si>
    <t>POCO F7 Pro</t>
    <phoneticPr fontId="2" type="noConversion"/>
  </si>
  <si>
    <t xml:space="preserve">Qualcomm Snapdragon 8 Gen 2
SM8550-AC </t>
    <phoneticPr fontId="2" type="noConversion"/>
  </si>
  <si>
    <t>Qualcomm Snapdragon 8 Gen 3 SM8650</t>
    <phoneticPr fontId="2" type="noConversion"/>
  </si>
  <si>
    <t>Qualcomm Kryo Prime MP1 3.36 GHz
Qualcomm Kryo Gold[A715] MP2 2.80 GHz
Qualcomm Kryo Gold[A710] MP2 2.80 GHz
Qualcomm Kryo Silver MP3 2.02 GHz</t>
    <phoneticPr fontId="2" type="noConversion"/>
  </si>
  <si>
    <t>Qualcomm Kryo Prime MP1 3.30 GHz
Qualcomm Kryo Gold MP3 3.15 GHz
Qualcomm Kryo Gold MP2 2.96 GHz
Qualcomm Kryo Silver MP2 2.27 GHz</t>
    <phoneticPr fontId="2" type="noConversion"/>
  </si>
  <si>
    <t>Qualcomm Adreno 750 903 MHz</t>
    <phoneticPr fontId="2" type="noConversion"/>
  </si>
  <si>
    <t>6.0</t>
    <phoneticPr fontId="2" type="noConversion"/>
  </si>
  <si>
    <t>6.67"</t>
    <phoneticPr fontId="2" type="noConversion"/>
  </si>
  <si>
    <t>3200 x 1440</t>
    <phoneticPr fontId="2" type="noConversion"/>
  </si>
  <si>
    <t>24117RK2CG</t>
    <phoneticPr fontId="2" type="noConversion"/>
  </si>
  <si>
    <t>25057RN09G</t>
    <phoneticPr fontId="2" type="noConversion"/>
  </si>
  <si>
    <t>Qualcomm Snapdragon 6s Gen 3</t>
    <phoneticPr fontId="2" type="noConversion"/>
  </si>
  <si>
    <t>2x Cortex-A78 2.3GHz
6x Cortex-A55 2.0GHz</t>
    <phoneticPr fontId="2" type="noConversion"/>
  </si>
  <si>
    <t>Adreno 619</t>
    <phoneticPr fontId="2" type="noConversion"/>
  </si>
  <si>
    <t>6.9"</t>
    <phoneticPr fontId="2" type="noConversion"/>
  </si>
  <si>
    <t>5.1</t>
    <phoneticPr fontId="2" type="noConversion"/>
  </si>
  <si>
    <t>2340 x 1080</t>
    <phoneticPr fontId="2" type="noConversion"/>
  </si>
  <si>
    <t>SM-A175N</t>
    <phoneticPr fontId="2" type="noConversion"/>
  </si>
  <si>
    <t>MediaTek Dimensity 8300 Ultra</t>
    <phoneticPr fontId="2" type="noConversion"/>
  </si>
  <si>
    <t>MediaTek Helio G99
MT6789</t>
    <phoneticPr fontId="2" type="noConversion"/>
  </si>
  <si>
    <t>2 × ARM Cortex-A76 2.2 GHz
6 × ARM Cortex-A55 2.0 GHz</t>
    <phoneticPr fontId="2" type="noConversion"/>
  </si>
  <si>
    <t>2 × ARM Mali-G57 1 GHz</t>
    <phoneticPr fontId="2" type="noConversion"/>
  </si>
  <si>
    <t>6 GB</t>
    <phoneticPr fontId="2" type="noConversion"/>
  </si>
  <si>
    <t>6.7"</t>
    <phoneticPr fontId="2" type="noConversion"/>
  </si>
  <si>
    <t>5.3</t>
    <phoneticPr fontId="2" type="noConversion"/>
  </si>
  <si>
    <t>SM-X115N</t>
    <phoneticPr fontId="2" type="noConversion"/>
  </si>
  <si>
    <t>4 GB</t>
    <phoneticPr fontId="2" type="noConversion"/>
  </si>
  <si>
    <t>8.7"</t>
    <phoneticPr fontId="2" type="noConversion"/>
  </si>
  <si>
    <t>1340 x 800</t>
    <phoneticPr fontId="2" type="noConversion"/>
  </si>
  <si>
    <t>16 GB</t>
    <phoneticPr fontId="2" type="noConversion"/>
  </si>
  <si>
    <t>MediaTek Dimensity 8300 Ultra MT6897</t>
    <phoneticPr fontId="2" type="noConversion"/>
  </si>
  <si>
    <t>1x3.35 GHz Cortex-A715
3x3.20 GHz Cortex-A715
4x2.20 GHz Cortex-A510)</t>
    <phoneticPr fontId="2" type="noConversion"/>
  </si>
  <si>
    <t>Mali G615-MC6 1400 MHz</t>
    <phoneticPr fontId="2" type="noConversion"/>
  </si>
  <si>
    <t>2712 x 1220</t>
    <phoneticPr fontId="2" type="noConversion"/>
  </si>
  <si>
    <t>5.4</t>
    <phoneticPr fontId="2" type="noConversion"/>
  </si>
  <si>
    <t>#205</t>
    <phoneticPr fontId="2" type="noConversion"/>
  </si>
  <si>
    <t>신규 디바이스 5종 추가 (POCO F7 Pro, REDMI 15, Xiaomi 14T, Galaxy A17, Galaxy Tap A9)</t>
    <phoneticPr fontId="2" type="noConversion"/>
  </si>
  <si>
    <t>2406APNFAG</t>
    <phoneticPr fontId="2" type="noConversion"/>
  </si>
  <si>
    <t>MYE73KH/A
A3287</t>
    <phoneticPr fontId="2" type="noConversion"/>
  </si>
  <si>
    <t>#206</t>
    <phoneticPr fontId="2" type="noConversion"/>
  </si>
  <si>
    <t>GD_A_080 (Pixel 6a), GD_A_095 (Pixel 8a) 최신 OS 유지 디바이스 OS 업데이트 (AOS 16 -&gt; AOS 17 QPR1 BETA2)</t>
    <phoneticPr fontId="2" type="noConversion"/>
  </si>
  <si>
    <t>#207</t>
    <phoneticPr fontId="2" type="noConversion"/>
  </si>
  <si>
    <t>GD_A_108 Xiaomi 14T OS 버전 오타 확인 후 수정</t>
    <phoneticPr fontId="2" type="noConversion"/>
  </si>
  <si>
    <t>#208</t>
    <phoneticPr fontId="2" type="noConversion"/>
  </si>
  <si>
    <t>GD_i_036 iPhone 12 Pro 최신 OS 유지 디바이스 OS 업데이트(26.3.1(a) &gt; 26.5)</t>
    <phoneticPr fontId="2" type="noConversion"/>
  </si>
  <si>
    <t>글로벌 서비스팀 대여
전진님</t>
  </si>
  <si>
    <t>글로벌 서비스팀 대여
전진님</t>
    <phoneticPr fontId="2" type="noConversion"/>
  </si>
  <si>
    <t>#209</t>
    <phoneticPr fontId="2" type="noConversion"/>
  </si>
  <si>
    <t xml:space="preserve">GD_i_045 iPhone 15 Pro(17.6.1), GD_i_042 iPhone 13 Pro MAX(17.6.1), GD_A_084 Galaxy s20(12), GD_A_098 Galaxy A55(14) 글로벌서비스 3팀 전진 님 대여 </t>
    <phoneticPr fontId="2" type="noConversion"/>
  </si>
  <si>
    <t>배터리 충전 불량</t>
    <phoneticPr fontId="2" type="noConversion"/>
  </si>
  <si>
    <t>#210</t>
    <phoneticPr fontId="2" type="noConversion"/>
  </si>
  <si>
    <t>GD_i_002 iPhone 5(10.3.2) 회수 및 배터리 불량으로 수리 필요로 상태 변경</t>
    <phoneticPr fontId="2" type="noConversion"/>
  </si>
  <si>
    <t>#211</t>
    <phoneticPr fontId="2" type="noConversion"/>
  </si>
  <si>
    <t>이유린</t>
    <phoneticPr fontId="2" type="noConversion"/>
  </si>
  <si>
    <t>GD_A_093 Redmi Note 13 Pro OS 버전 업데이트되어 있어 내용 갱신 ( OS 13 &gt; 15 )</t>
    <phoneticPr fontId="2" type="noConversion"/>
  </si>
  <si>
    <t>GD_i_048</t>
  </si>
  <si>
    <t>GD_i_049</t>
  </si>
  <si>
    <t>GD_i_050</t>
  </si>
  <si>
    <t>GD_i_051</t>
  </si>
  <si>
    <t>GD_i_052</t>
  </si>
  <si>
    <t>GD_i_053</t>
  </si>
  <si>
    <t>iPhone 16 Pro Max</t>
    <phoneticPr fontId="2" type="noConversion"/>
  </si>
  <si>
    <t>A3296</t>
    <phoneticPr fontId="2" type="noConversion"/>
  </si>
  <si>
    <t>26.5</t>
    <phoneticPr fontId="2" type="noConversion"/>
  </si>
  <si>
    <t>iPhone 16 Plus</t>
    <phoneticPr fontId="2" type="noConversion"/>
  </si>
  <si>
    <t>A3290</t>
    <phoneticPr fontId="2" type="noConversion"/>
  </si>
  <si>
    <t>iPhone 17e</t>
    <phoneticPr fontId="2" type="noConversion"/>
  </si>
  <si>
    <t>A3634</t>
    <phoneticPr fontId="2" type="noConversion"/>
  </si>
  <si>
    <t>26.4</t>
    <phoneticPr fontId="2" type="noConversion"/>
  </si>
  <si>
    <t>iPhone 15</t>
    <phoneticPr fontId="2" type="noConversion"/>
  </si>
  <si>
    <t>A3090</t>
    <phoneticPr fontId="2" type="noConversion"/>
  </si>
  <si>
    <t>iPhone 16</t>
    <phoneticPr fontId="2" type="noConversion"/>
  </si>
  <si>
    <t>26.3.1</t>
    <phoneticPr fontId="2" type="noConversion"/>
  </si>
  <si>
    <t xml:space="preserve">A3287 </t>
    <phoneticPr fontId="2" type="noConversion"/>
  </si>
  <si>
    <t>26.4.2</t>
    <phoneticPr fontId="2" type="noConversion"/>
  </si>
  <si>
    <t>Apple A16 Bionic</t>
    <phoneticPr fontId="2" type="noConversion"/>
  </si>
  <si>
    <t>Apple GPU (5-core graphics)</t>
    <phoneticPr fontId="2" type="noConversion"/>
  </si>
  <si>
    <t>Hexa-core (2x3.46 GHz Everest + 4x2.02 GHz Sawtooth)</t>
    <phoneticPr fontId="2" type="noConversion"/>
  </si>
  <si>
    <t>6GB</t>
    <phoneticPr fontId="2" type="noConversion"/>
  </si>
  <si>
    <t>Apple A18</t>
    <phoneticPr fontId="2" type="noConversion"/>
  </si>
  <si>
    <t>Hexa-core (2x4.04 GHz + 4x2.20 GHz)</t>
    <phoneticPr fontId="2" type="noConversion"/>
  </si>
  <si>
    <t>Apple A19</t>
    <phoneticPr fontId="2" type="noConversion"/>
  </si>
  <si>
    <t>Hexa-core (2x4.26 GHz + 4x2.60 GHz)</t>
    <phoneticPr fontId="2" type="noConversion"/>
  </si>
  <si>
    <t>Apple GPU (4-core graphics)</t>
    <phoneticPr fontId="2" type="noConversion"/>
  </si>
  <si>
    <t>8GB</t>
    <phoneticPr fontId="2" type="noConversion"/>
  </si>
  <si>
    <t>8GB</t>
    <phoneticPr fontId="2" type="noConversion"/>
  </si>
  <si>
    <t>6.1"</t>
    <phoneticPr fontId="2" type="noConversion"/>
  </si>
  <si>
    <t>2532 x 1170</t>
    <phoneticPr fontId="2" type="noConversion"/>
  </si>
  <si>
    <t>6.7"</t>
    <phoneticPr fontId="2" type="noConversion"/>
  </si>
  <si>
    <t>Apple A18 Pro</t>
    <phoneticPr fontId="2" type="noConversion"/>
  </si>
  <si>
    <t>Apple GPU (6-core graphics)</t>
    <phoneticPr fontId="2" type="noConversion"/>
  </si>
  <si>
    <t>Hexa-core (2x4.05 GHz + 4x2.42 GHz)</t>
    <phoneticPr fontId="2" type="noConversion"/>
  </si>
  <si>
    <t>6.9"</t>
    <phoneticPr fontId="2" type="noConversion"/>
  </si>
  <si>
    <t>#212</t>
  </si>
  <si>
    <t>GD_i_048 iPhone 15 / GD_i_049 iPhone 16 Pro Max / GD_i_050 iPhone 15 / GD_i_051 iPhone 16
/ GD_i_052 iPhone 16 Plus / GD_i_053 iPhone 17e - 신규 기기 6종 추가</t>
    <phoneticPr fontId="2" type="noConversion"/>
  </si>
  <si>
    <t>16.7.16</t>
    <phoneticPr fontId="2" type="noConversion"/>
  </si>
  <si>
    <t>16.7.16</t>
  </si>
  <si>
    <t>오재식</t>
    <phoneticPr fontId="2" type="noConversion"/>
  </si>
  <si>
    <t>#213</t>
    <phoneticPr fontId="2" type="noConversion"/>
  </si>
  <si>
    <t>18.7.9</t>
    <phoneticPr fontId="2" type="noConversion"/>
  </si>
  <si>
    <t>OS 업데이트
GD_i_029 iPhone 12 (14.4 &gt; 26.5)
GD_i_011 iPad 5th
GD_i_020 iPhone 8+ (13.7 &gt; 16.7.16)
GD_i_029 iPhone 12 (14.4 &gt; 26.5)
GD_i_015 iPhone Xs (13.3 &gt; 18.7.9)
GD_i_019 iPhone Xs Max (13.7 &gt; 18.7.9)</t>
    <phoneticPr fontId="2" type="noConversion"/>
  </si>
  <si>
    <t>#214</t>
    <phoneticPr fontId="2" type="noConversion"/>
  </si>
  <si>
    <t>최승후</t>
    <phoneticPr fontId="2" type="noConversion"/>
  </si>
  <si>
    <t>2026-05-22 OS 업데이트 갱신 누락 건 내용 갱신
GD_i_035 iPhone 11 Pro (26.2.1 -&gt; 26.5)</t>
    <phoneticPr fontId="2" type="noConversion"/>
  </si>
  <si>
    <t>#215</t>
    <phoneticPr fontId="2" type="noConversion"/>
  </si>
  <si>
    <t>GD_i_041 iPhone 13 최신 OS 유지 디바이스 OS 업데이트(17.6.1 &gt; 26.5)</t>
    <phoneticPr fontId="2" type="noConversion"/>
  </si>
  <si>
    <t>#216</t>
    <phoneticPr fontId="2" type="noConversion"/>
  </si>
  <si>
    <t>OS 업데이트
GD_A_008 Galaxy S6 (6.0.1 &gt; 7.0)
GD_A_009 Galaxy note 5 (6.0.1 &gt; 7.0)
상태 변경
GD_A_018 LG V20 배터리 부풀음으로 수리 상태로 변경</t>
    <phoneticPr fontId="2" type="noConversion"/>
  </si>
  <si>
    <t>배터리 부풀음
수리 필요</t>
    <phoneticPr fontId="2" type="noConversion"/>
  </si>
  <si>
    <t>7.0</t>
    <phoneticPr fontId="2" type="noConversion"/>
  </si>
  <si>
    <t>OS 최신으로 유지</t>
    <phoneticPr fontId="2" type="noConversion"/>
  </si>
  <si>
    <t>GD_A_080 (Pixel 6a) 최신 OS 유지 디바이스 OS 업데이트 (AOS 17 QPR1 BETA2 -&gt; AOS17(정식))</t>
    <phoneticPr fontId="2" type="noConversion"/>
  </si>
  <si>
    <t>송윤석</t>
    <phoneticPr fontId="2" type="noConversion"/>
  </si>
  <si>
    <t>#217</t>
    <phoneticPr fontId="2" type="noConversion"/>
  </si>
  <si>
    <t>운영팀 1개월간 대여 (26/7/22 ~ 26/8/22)</t>
    <phoneticPr fontId="2" type="noConversion"/>
  </si>
  <si>
    <t>#218</t>
    <phoneticPr fontId="2" type="noConversion"/>
  </si>
  <si>
    <t>이복기</t>
    <phoneticPr fontId="2" type="noConversion"/>
  </si>
  <si>
    <t>GD_A_093 Redmi Note 13 Pro / GD_A_081 Xiaomi 12 Lite - 운영팀 이준기님 1개월 대여 (~8/22)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</si>
</sst>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2" formatCode="_-&quot;₩&quot;* #,##0_-;\-&quot;₩&quot;* #,##0_-;_-&quot;₩&quot;* &quot;-&quot;_-;_-@_-"/>
    <numFmt numFmtId="41" formatCode="_-* #,##0_-;\-* #,##0_-;_-* &quot;-&quot;_-;_-@_-"/>
    <numFmt numFmtId="176" formatCode="0.0"/>
    <numFmt numFmtId="177" formatCode="0.0_);[Red]\(0.0\)"/>
    <numFmt numFmtId="178" formatCode="0.0_);\(0.0\)"/>
  </numFmts>
  <fonts count="3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8"/>
      <name val="맑은 고딕"/>
      <family val="2"/>
      <scheme val="minor"/>
    </font>
    <font>
      <b/>
      <sz val="1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b/>
      <sz val="10"/>
      <name val="맑은 고딕"/>
      <family val="2"/>
      <scheme val="major"/>
    </font>
    <font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0"/>
      <color rgb="FFFFFFFF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theme="1"/>
      <name val="맑은 고딕"/>
      <family val="2"/>
      <scheme val="minor"/>
    </font>
    <font>
      <sz val="9"/>
      <color theme="1"/>
      <name val="Arial"/>
      <family val="2"/>
    </font>
    <font>
      <sz val="10"/>
      <color theme="1"/>
      <name val="맑은 고딕"/>
      <family val="2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9"/>
      <color theme="1"/>
      <name val="돋움"/>
      <family val="3"/>
      <charset val="129"/>
    </font>
    <font>
      <sz val="11"/>
      <color rgb="FF9C0006"/>
      <name val="맑은 고딕"/>
      <family val="2"/>
      <charset val="129"/>
      <scheme val="minor"/>
    </font>
    <font>
      <b/>
      <sz val="9"/>
      <color theme="0"/>
      <name val="맑은 고딕"/>
      <family val="2"/>
      <charset val="129"/>
      <scheme val="minor"/>
    </font>
    <font>
      <b/>
      <sz val="9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9"/>
      <color rgb="FFFF0000"/>
      <name val="맑은 고딕"/>
      <family val="2"/>
      <charset val="129"/>
      <scheme val="minor"/>
    </font>
    <font>
      <sz val="9"/>
      <color theme="0" tint="-0.249977111117893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9"/>
      <color theme="1"/>
      <name val="Arial"/>
      <family val="3"/>
    </font>
    <font>
      <sz val="9"/>
      <color rgb="FFFF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59595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7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106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0" tint="-0.24994659260841701"/>
      </bottom>
      <diagonal/>
    </border>
    <border>
      <left/>
      <right/>
      <top style="medium">
        <color indexed="64"/>
      </top>
      <bottom style="thin">
        <color theme="0" tint="-0.24994659260841701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/>
      <diagonal/>
    </border>
    <border>
      <left style="medium">
        <color indexed="64"/>
      </left>
      <right style="thin">
        <color theme="0" tint="-0.24994659260841701"/>
      </right>
      <top/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ck">
        <color theme="1"/>
      </top>
      <bottom style="thin">
        <color theme="0" tint="-0.24994659260841701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theme="0" tint="-0.24994659260841701"/>
      </right>
      <top style="thick">
        <color theme="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rgb="FF000000"/>
      </right>
      <top style="thick">
        <color theme="1"/>
      </top>
      <bottom style="thin">
        <color theme="0" tint="-0.24994659260841701"/>
      </bottom>
      <diagonal/>
    </border>
    <border>
      <left style="medium">
        <color rgb="FF000000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rgb="FF000000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rgb="FF000000"/>
      </left>
      <right style="thin">
        <color theme="0" tint="-0.24994659260841701"/>
      </right>
      <top style="thin">
        <color theme="0" tint="-0.24994659260841701"/>
      </top>
      <bottom style="medium">
        <color rgb="FF00000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rgb="FF000000"/>
      </bottom>
      <diagonal/>
    </border>
    <border>
      <left style="thin">
        <color theme="0" tint="-0.24994659260841701"/>
      </left>
      <right style="medium">
        <color rgb="FF000000"/>
      </right>
      <top style="thin">
        <color theme="0" tint="-0.24994659260841701"/>
      </top>
      <bottom style="medium">
        <color rgb="FF00000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rgb="FF000000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medium">
        <color rgb="FF000000"/>
      </right>
      <top style="thin">
        <color theme="0" tint="-0.24994659260841701"/>
      </top>
      <bottom/>
      <diagonal/>
    </border>
    <border>
      <left style="medium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77111117893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77111117893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77111117893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77111117893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4659260841701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4659260841701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medium">
        <color indexed="64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medium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77111117893"/>
      </bottom>
      <diagonal/>
    </border>
    <border>
      <left style="thin">
        <color theme="0" tint="-0.24994659260841701"/>
      </left>
      <right/>
      <top style="thin">
        <color theme="0" tint="-0.249977111117893"/>
      </top>
      <bottom style="medium">
        <color indexed="64"/>
      </bottom>
      <diagonal/>
    </border>
    <border>
      <left/>
      <right/>
      <top style="thin">
        <color theme="0" tint="-0.249977111117893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249977111117893"/>
      </top>
      <bottom style="medium">
        <color indexed="64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medium">
        <color indexed="64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medium">
        <color indexed="64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/>
      <diagonal/>
    </border>
    <border>
      <left style="medium">
        <color indexed="64"/>
      </left>
      <right style="dashed">
        <color indexed="64"/>
      </right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ashed">
        <color indexed="64"/>
      </right>
      <top style="dotted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dotted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25" fillId="7" borderId="0" applyNumberFormat="0" applyBorder="0" applyAlignment="0" applyProtection="0">
      <alignment vertical="center"/>
    </xf>
  </cellStyleXfs>
  <cellXfs count="370">
    <xf numFmtId="0" fontId="0" fillId="0" borderId="0" xfId="0">
      <alignment vertical="center"/>
    </xf>
    <xf numFmtId="0" fontId="9" fillId="0" borderId="0" xfId="1" applyFont="1" applyAlignment="1">
      <alignment vertical="center"/>
    </xf>
    <xf numFmtId="0" fontId="10" fillId="0" borderId="0" xfId="1" applyFont="1" applyAlignment="1">
      <alignment vertical="center" wrapText="1"/>
    </xf>
    <xf numFmtId="0" fontId="12" fillId="0" borderId="0" xfId="0" applyFont="1">
      <alignment vertical="center"/>
    </xf>
    <xf numFmtId="0" fontId="14" fillId="3" borderId="10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14" fontId="12" fillId="0" borderId="11" xfId="0" applyNumberFormat="1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7" fillId="0" borderId="21" xfId="1" applyFont="1" applyBorder="1" applyAlignment="1">
      <alignment vertical="center"/>
    </xf>
    <xf numFmtId="0" fontId="7" fillId="0" borderId="0" xfId="1" applyFont="1" applyAlignment="1">
      <alignment vertical="center"/>
    </xf>
    <xf numFmtId="0" fontId="7" fillId="0" borderId="22" xfId="1" applyFont="1" applyBorder="1" applyAlignment="1">
      <alignment vertical="center"/>
    </xf>
    <xf numFmtId="0" fontId="7" fillId="0" borderId="1" xfId="1" applyFont="1" applyBorder="1" applyAlignment="1">
      <alignment vertical="center"/>
    </xf>
    <xf numFmtId="0" fontId="7" fillId="0" borderId="3" xfId="1" applyFont="1" applyBorder="1" applyAlignment="1">
      <alignment vertical="center"/>
    </xf>
    <xf numFmtId="0" fontId="16" fillId="0" borderId="3" xfId="1" applyFont="1" applyBorder="1" applyAlignment="1">
      <alignment vertical="center"/>
    </xf>
    <xf numFmtId="0" fontId="7" fillId="0" borderId="2" xfId="1" applyFont="1" applyBorder="1" applyAlignment="1">
      <alignment vertical="center"/>
    </xf>
    <xf numFmtId="0" fontId="17" fillId="0" borderId="0" xfId="0" applyFont="1">
      <alignment vertical="center"/>
    </xf>
    <xf numFmtId="49" fontId="17" fillId="0" borderId="0" xfId="0" applyNumberFormat="1" applyFont="1">
      <alignment vertical="center"/>
    </xf>
    <xf numFmtId="0" fontId="18" fillId="6" borderId="0" xfId="0" applyFont="1" applyFill="1" applyAlignment="1">
      <alignment horizontal="center" vertical="center"/>
    </xf>
    <xf numFmtId="0" fontId="17" fillId="6" borderId="0" xfId="0" applyFont="1" applyFill="1">
      <alignment vertical="center"/>
    </xf>
    <xf numFmtId="0" fontId="2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15" fillId="6" borderId="0" xfId="0" applyFont="1" applyFill="1">
      <alignment vertical="center"/>
    </xf>
    <xf numFmtId="0" fontId="27" fillId="6" borderId="0" xfId="0" applyFont="1" applyFill="1" applyAlignment="1">
      <alignment horizontal="center" vertical="center"/>
    </xf>
    <xf numFmtId="0" fontId="28" fillId="6" borderId="0" xfId="0" applyFont="1" applyFill="1" applyAlignment="1">
      <alignment horizontal="center" vertical="center"/>
    </xf>
    <xf numFmtId="0" fontId="27" fillId="6" borderId="11" xfId="0" applyFont="1" applyFill="1" applyBorder="1" applyAlignment="1">
      <alignment horizontal="center" vertical="center"/>
    </xf>
    <xf numFmtId="0" fontId="27" fillId="6" borderId="12" xfId="0" applyFont="1" applyFill="1" applyBorder="1" applyAlignment="1">
      <alignment horizontal="center" vertical="center"/>
    </xf>
    <xf numFmtId="0" fontId="27" fillId="6" borderId="23" xfId="0" applyFont="1" applyFill="1" applyBorder="1" applyAlignment="1">
      <alignment horizontal="center" vertical="center"/>
    </xf>
    <xf numFmtId="0" fontId="27" fillId="6" borderId="20" xfId="0" applyFont="1" applyFill="1" applyBorder="1" applyAlignment="1">
      <alignment horizontal="center" vertical="center"/>
    </xf>
    <xf numFmtId="0" fontId="27" fillId="6" borderId="29" xfId="0" applyFont="1" applyFill="1" applyBorder="1" applyAlignment="1">
      <alignment horizontal="center" vertical="center"/>
    </xf>
    <xf numFmtId="0" fontId="27" fillId="6" borderId="30" xfId="0" applyFont="1" applyFill="1" applyBorder="1" applyAlignment="1">
      <alignment horizontal="center" vertical="center"/>
    </xf>
    <xf numFmtId="0" fontId="27" fillId="8" borderId="27" xfId="0" applyFont="1" applyFill="1" applyBorder="1" applyAlignment="1">
      <alignment horizontal="center" vertical="center"/>
    </xf>
    <xf numFmtId="0" fontId="28" fillId="8" borderId="28" xfId="0" applyFont="1" applyFill="1" applyBorder="1" applyAlignment="1">
      <alignment horizontal="center" vertical="center"/>
    </xf>
    <xf numFmtId="0" fontId="29" fillId="6" borderId="29" xfId="0" applyFont="1" applyFill="1" applyBorder="1" applyAlignment="1">
      <alignment horizontal="center" vertical="center"/>
    </xf>
    <xf numFmtId="0" fontId="29" fillId="6" borderId="30" xfId="0" applyFont="1" applyFill="1" applyBorder="1" applyAlignment="1">
      <alignment horizontal="center" vertical="center"/>
    </xf>
    <xf numFmtId="0" fontId="19" fillId="5" borderId="34" xfId="0" applyFont="1" applyFill="1" applyBorder="1" applyAlignment="1">
      <alignment horizontal="center" vertical="center"/>
    </xf>
    <xf numFmtId="49" fontId="19" fillId="5" borderId="34" xfId="0" applyNumberFormat="1" applyFont="1" applyFill="1" applyBorder="1" applyAlignment="1">
      <alignment horizontal="center" vertical="center"/>
    </xf>
    <xf numFmtId="0" fontId="27" fillId="9" borderId="0" xfId="0" applyFont="1" applyFill="1" applyAlignment="1">
      <alignment horizontal="center" vertical="center"/>
    </xf>
    <xf numFmtId="0" fontId="7" fillId="0" borderId="1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7" fillId="0" borderId="11" xfId="0" applyFont="1" applyBorder="1" applyAlignment="1">
      <alignment horizontal="left" vertical="center" wrapText="1"/>
    </xf>
    <xf numFmtId="0" fontId="18" fillId="6" borderId="35" xfId="0" applyFont="1" applyFill="1" applyBorder="1" applyAlignment="1">
      <alignment horizontal="center" vertical="center"/>
    </xf>
    <xf numFmtId="0" fontId="18" fillId="6" borderId="36" xfId="0" applyFont="1" applyFill="1" applyBorder="1" applyAlignment="1">
      <alignment horizontal="center" vertical="center"/>
    </xf>
    <xf numFmtId="14" fontId="31" fillId="6" borderId="36" xfId="0" applyNumberFormat="1" applyFont="1" applyFill="1" applyBorder="1" applyAlignment="1">
      <alignment horizontal="right" vertical="center"/>
    </xf>
    <xf numFmtId="14" fontId="31" fillId="6" borderId="37" xfId="0" applyNumberFormat="1" applyFont="1" applyFill="1" applyBorder="1" applyAlignment="1">
      <alignment horizontal="left" vertical="center"/>
    </xf>
    <xf numFmtId="0" fontId="19" fillId="5" borderId="38" xfId="0" applyFont="1" applyFill="1" applyBorder="1" applyAlignment="1">
      <alignment horizontal="center" vertical="center"/>
    </xf>
    <xf numFmtId="0" fontId="19" fillId="5" borderId="39" xfId="0" applyFont="1" applyFill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20" xfId="0" applyFont="1" applyBorder="1" applyAlignment="1">
      <alignment horizontal="left" vertical="center"/>
    </xf>
    <xf numFmtId="0" fontId="7" fillId="0" borderId="20" xfId="0" applyFont="1" applyBorder="1">
      <alignment vertical="center"/>
    </xf>
    <xf numFmtId="0" fontId="15" fillId="6" borderId="0" xfId="0" applyFont="1" applyFill="1" applyAlignment="1">
      <alignment horizontal="center" vertical="center" wrapText="1"/>
    </xf>
    <xf numFmtId="0" fontId="15" fillId="6" borderId="45" xfId="0" applyFont="1" applyFill="1" applyBorder="1" applyAlignment="1">
      <alignment horizontal="center" vertical="center"/>
    </xf>
    <xf numFmtId="0" fontId="15" fillId="6" borderId="45" xfId="0" applyFont="1" applyFill="1" applyBorder="1" applyAlignment="1">
      <alignment horizontal="center" vertical="center" wrapText="1"/>
    </xf>
    <xf numFmtId="0" fontId="15" fillId="6" borderId="45" xfId="0" applyFont="1" applyFill="1" applyBorder="1">
      <alignment vertical="center"/>
    </xf>
    <xf numFmtId="49" fontId="15" fillId="6" borderId="45" xfId="0" applyNumberFormat="1" applyFont="1" applyFill="1" applyBorder="1" applyAlignment="1">
      <alignment horizontal="center" vertical="center"/>
    </xf>
    <xf numFmtId="176" fontId="15" fillId="6" borderId="45" xfId="0" applyNumberFormat="1" applyFont="1" applyFill="1" applyBorder="1" applyAlignment="1">
      <alignment horizontal="center" vertical="center"/>
    </xf>
    <xf numFmtId="49" fontId="15" fillId="6" borderId="45" xfId="0" applyNumberFormat="1" applyFont="1" applyFill="1" applyBorder="1" applyAlignment="1">
      <alignment horizontal="center" vertical="center" wrapText="1"/>
    </xf>
    <xf numFmtId="0" fontId="15" fillId="6" borderId="46" xfId="0" applyFont="1" applyFill="1" applyBorder="1" applyAlignment="1">
      <alignment horizontal="center" vertical="center"/>
    </xf>
    <xf numFmtId="0" fontId="15" fillId="0" borderId="46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 wrapText="1"/>
    </xf>
    <xf numFmtId="49" fontId="15" fillId="0" borderId="45" xfId="0" applyNumberFormat="1" applyFont="1" applyBorder="1" applyAlignment="1">
      <alignment horizontal="center" vertical="center"/>
    </xf>
    <xf numFmtId="0" fontId="15" fillId="0" borderId="45" xfId="0" applyFont="1" applyBorder="1">
      <alignment vertical="center"/>
    </xf>
    <xf numFmtId="0" fontId="7" fillId="0" borderId="43" xfId="0" applyFont="1" applyBorder="1" applyAlignment="1">
      <alignment horizontal="center" vertical="center"/>
    </xf>
    <xf numFmtId="0" fontId="7" fillId="0" borderId="43" xfId="0" applyFont="1" applyBorder="1" applyAlignment="1">
      <alignment horizontal="left" vertical="center"/>
    </xf>
    <xf numFmtId="0" fontId="7" fillId="0" borderId="44" xfId="0" applyFont="1" applyBorder="1" applyAlignment="1">
      <alignment horizontal="center" vertical="center"/>
    </xf>
    <xf numFmtId="49" fontId="15" fillId="6" borderId="47" xfId="0" applyNumberFormat="1" applyFont="1" applyFill="1" applyBorder="1" applyAlignment="1">
      <alignment horizontal="center" vertical="center"/>
    </xf>
    <xf numFmtId="0" fontId="15" fillId="6" borderId="47" xfId="0" applyFont="1" applyFill="1" applyBorder="1" applyAlignment="1">
      <alignment horizontal="center" vertical="center"/>
    </xf>
    <xf numFmtId="0" fontId="15" fillId="0" borderId="47" xfId="0" applyFont="1" applyBorder="1" applyAlignment="1">
      <alignment horizontal="center" vertical="center" wrapText="1"/>
    </xf>
    <xf numFmtId="0" fontId="20" fillId="6" borderId="47" xfId="0" applyFont="1" applyFill="1" applyBorder="1" applyAlignment="1">
      <alignment horizontal="center" vertical="center"/>
    </xf>
    <xf numFmtId="0" fontId="15" fillId="6" borderId="47" xfId="0" applyFont="1" applyFill="1" applyBorder="1" applyAlignment="1">
      <alignment horizontal="center" vertical="center" wrapText="1"/>
    </xf>
    <xf numFmtId="0" fontId="21" fillId="6" borderId="47" xfId="0" applyFont="1" applyFill="1" applyBorder="1" applyAlignment="1">
      <alignment horizontal="center" vertical="center" wrapText="1"/>
    </xf>
    <xf numFmtId="0" fontId="20" fillId="6" borderId="47" xfId="0" applyFont="1" applyFill="1" applyBorder="1" applyAlignment="1">
      <alignment horizontal="center" vertical="center" wrapText="1"/>
    </xf>
    <xf numFmtId="178" fontId="17" fillId="6" borderId="47" xfId="0" applyNumberFormat="1" applyFont="1" applyFill="1" applyBorder="1" applyAlignment="1">
      <alignment horizontal="center" vertical="center"/>
    </xf>
    <xf numFmtId="177" fontId="15" fillId="0" borderId="47" xfId="0" applyNumberFormat="1" applyFont="1" applyBorder="1" applyAlignment="1">
      <alignment horizontal="center" vertical="center"/>
    </xf>
    <xf numFmtId="0" fontId="24" fillId="6" borderId="47" xfId="0" applyFont="1" applyFill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/>
    </xf>
    <xf numFmtId="49" fontId="15" fillId="0" borderId="47" xfId="0" applyNumberFormat="1" applyFont="1" applyBorder="1" applyAlignment="1">
      <alignment horizontal="center" vertical="center"/>
    </xf>
    <xf numFmtId="49" fontId="15" fillId="0" borderId="47" xfId="0" applyNumberFormat="1" applyFont="1" applyBorder="1" applyAlignment="1">
      <alignment horizontal="center" vertical="center" wrapText="1"/>
    </xf>
    <xf numFmtId="176" fontId="15" fillId="0" borderId="47" xfId="0" applyNumberFormat="1" applyFont="1" applyBorder="1" applyAlignment="1">
      <alignment horizontal="center" vertical="center"/>
    </xf>
    <xf numFmtId="0" fontId="15" fillId="10" borderId="47" xfId="0" applyFont="1" applyFill="1" applyBorder="1" applyAlignment="1">
      <alignment horizontal="center" vertical="center"/>
    </xf>
    <xf numFmtId="49" fontId="15" fillId="10" borderId="47" xfId="0" applyNumberFormat="1" applyFont="1" applyFill="1" applyBorder="1" applyAlignment="1">
      <alignment horizontal="center" vertical="center"/>
    </xf>
    <xf numFmtId="0" fontId="15" fillId="10" borderId="47" xfId="0" applyFont="1" applyFill="1" applyBorder="1" applyAlignment="1">
      <alignment horizontal="center" vertical="center" wrapText="1"/>
    </xf>
    <xf numFmtId="178" fontId="17" fillId="10" borderId="47" xfId="0" applyNumberFormat="1" applyFont="1" applyFill="1" applyBorder="1" applyAlignment="1">
      <alignment horizontal="center" vertical="center"/>
    </xf>
    <xf numFmtId="177" fontId="15" fillId="10" borderId="47" xfId="0" applyNumberFormat="1" applyFont="1" applyFill="1" applyBorder="1" applyAlignment="1">
      <alignment horizontal="center" vertical="center"/>
    </xf>
    <xf numFmtId="49" fontId="15" fillId="10" borderId="47" xfId="0" applyNumberFormat="1" applyFont="1" applyFill="1" applyBorder="1" applyAlignment="1">
      <alignment horizontal="center" vertical="center" wrapText="1"/>
    </xf>
    <xf numFmtId="177" fontId="15" fillId="0" borderId="47" xfId="0" quotePrefix="1" applyNumberFormat="1" applyFont="1" applyBorder="1" applyAlignment="1">
      <alignment horizontal="center" vertical="center"/>
    </xf>
    <xf numFmtId="49" fontId="15" fillId="6" borderId="47" xfId="0" applyNumberFormat="1" applyFont="1" applyFill="1" applyBorder="1" applyAlignment="1">
      <alignment horizontal="center" vertical="center" wrapText="1"/>
    </xf>
    <xf numFmtId="0" fontId="17" fillId="6" borderId="47" xfId="0" applyFont="1" applyFill="1" applyBorder="1" applyAlignment="1">
      <alignment horizontal="center" vertical="center"/>
    </xf>
    <xf numFmtId="0" fontId="17" fillId="6" borderId="47" xfId="0" applyFont="1" applyFill="1" applyBorder="1" applyAlignment="1">
      <alignment horizontal="center" vertical="center" wrapText="1"/>
    </xf>
    <xf numFmtId="0" fontId="17" fillId="10" borderId="47" xfId="0" applyFont="1" applyFill="1" applyBorder="1" applyAlignment="1">
      <alignment horizontal="center" vertical="center"/>
    </xf>
    <xf numFmtId="0" fontId="17" fillId="10" borderId="47" xfId="0" applyFont="1" applyFill="1" applyBorder="1" applyAlignment="1">
      <alignment horizontal="center" vertical="center" wrapText="1"/>
    </xf>
    <xf numFmtId="49" fontId="15" fillId="6" borderId="47" xfId="0" applyNumberFormat="1" applyFont="1" applyFill="1" applyBorder="1">
      <alignment vertical="center"/>
    </xf>
    <xf numFmtId="0" fontId="17" fillId="0" borderId="47" xfId="0" applyFont="1" applyBorder="1" applyAlignment="1">
      <alignment horizontal="center" vertical="center"/>
    </xf>
    <xf numFmtId="0" fontId="17" fillId="0" borderId="47" xfId="0" applyFont="1" applyBorder="1" applyAlignment="1">
      <alignment horizontal="center" vertical="center" wrapText="1"/>
    </xf>
    <xf numFmtId="49" fontId="17" fillId="0" borderId="47" xfId="0" applyNumberFormat="1" applyFont="1" applyBorder="1">
      <alignment vertical="center"/>
    </xf>
    <xf numFmtId="0" fontId="19" fillId="5" borderId="48" xfId="0" applyFont="1" applyFill="1" applyBorder="1" applyAlignment="1">
      <alignment horizontal="center" vertical="center"/>
    </xf>
    <xf numFmtId="49" fontId="19" fillId="5" borderId="49" xfId="0" applyNumberFormat="1" applyFont="1" applyFill="1" applyBorder="1" applyAlignment="1">
      <alignment horizontal="center" vertical="center"/>
    </xf>
    <xf numFmtId="0" fontId="19" fillId="5" borderId="49" xfId="0" applyFont="1" applyFill="1" applyBorder="1" applyAlignment="1">
      <alignment horizontal="center" vertical="center"/>
    </xf>
    <xf numFmtId="49" fontId="19" fillId="5" borderId="50" xfId="0" applyNumberFormat="1" applyFont="1" applyFill="1" applyBorder="1" applyAlignment="1">
      <alignment horizontal="center" vertical="center"/>
    </xf>
    <xf numFmtId="0" fontId="17" fillId="6" borderId="51" xfId="7" applyFont="1" applyFill="1" applyBorder="1" applyAlignment="1">
      <alignment horizontal="center" vertical="center"/>
    </xf>
    <xf numFmtId="0" fontId="17" fillId="6" borderId="52" xfId="0" applyFont="1" applyFill="1" applyBorder="1">
      <alignment vertical="center"/>
    </xf>
    <xf numFmtId="0" fontId="15" fillId="6" borderId="51" xfId="0" applyFont="1" applyFill="1" applyBorder="1" applyAlignment="1">
      <alignment horizontal="center" vertical="center"/>
    </xf>
    <xf numFmtId="0" fontId="15" fillId="0" borderId="51" xfId="0" applyFont="1" applyBorder="1" applyAlignment="1">
      <alignment horizontal="center" vertical="center"/>
    </xf>
    <xf numFmtId="0" fontId="17" fillId="0" borderId="52" xfId="0" applyFont="1" applyBorder="1">
      <alignment vertical="center"/>
    </xf>
    <xf numFmtId="0" fontId="15" fillId="10" borderId="51" xfId="0" applyFont="1" applyFill="1" applyBorder="1" applyAlignment="1">
      <alignment horizontal="center" vertical="center"/>
    </xf>
    <xf numFmtId="0" fontId="17" fillId="10" borderId="52" xfId="0" applyFont="1" applyFill="1" applyBorder="1">
      <alignment vertical="center"/>
    </xf>
    <xf numFmtId="0" fontId="17" fillId="6" borderId="52" xfId="0" applyFont="1" applyFill="1" applyBorder="1" applyAlignment="1">
      <alignment horizontal="center" vertical="center"/>
    </xf>
    <xf numFmtId="0" fontId="17" fillId="6" borderId="51" xfId="0" applyFont="1" applyFill="1" applyBorder="1" applyAlignment="1">
      <alignment horizontal="center" vertical="center"/>
    </xf>
    <xf numFmtId="0" fontId="17" fillId="10" borderId="51" xfId="0" applyFont="1" applyFill="1" applyBorder="1" applyAlignment="1">
      <alignment horizontal="center" vertical="center"/>
    </xf>
    <xf numFmtId="0" fontId="17" fillId="10" borderId="52" xfId="0" applyFont="1" applyFill="1" applyBorder="1" applyAlignment="1">
      <alignment horizontal="center" vertical="center"/>
    </xf>
    <xf numFmtId="0" fontId="17" fillId="0" borderId="52" xfId="0" applyFont="1" applyBorder="1" applyAlignment="1">
      <alignment horizontal="center" vertical="center"/>
    </xf>
    <xf numFmtId="49" fontId="15" fillId="11" borderId="47" xfId="0" applyNumberFormat="1" applyFont="1" applyFill="1" applyBorder="1" applyAlignment="1">
      <alignment horizontal="center" vertical="center"/>
    </xf>
    <xf numFmtId="49" fontId="17" fillId="0" borderId="47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49" fontId="15" fillId="11" borderId="47" xfId="0" applyNumberFormat="1" applyFont="1" applyFill="1" applyBorder="1" applyAlignment="1">
      <alignment horizontal="center" vertical="center" wrapText="1"/>
    </xf>
    <xf numFmtId="49" fontId="17" fillId="10" borderId="47" xfId="0" applyNumberFormat="1" applyFont="1" applyFill="1" applyBorder="1" applyAlignment="1">
      <alignment horizontal="center" vertical="center" wrapText="1"/>
    </xf>
    <xf numFmtId="0" fontId="15" fillId="12" borderId="51" xfId="0" applyFont="1" applyFill="1" applyBorder="1" applyAlignment="1">
      <alignment horizontal="center" vertical="center"/>
    </xf>
    <xf numFmtId="49" fontId="15" fillId="12" borderId="47" xfId="0" applyNumberFormat="1" applyFont="1" applyFill="1" applyBorder="1" applyAlignment="1">
      <alignment horizontal="center" vertical="center"/>
    </xf>
    <xf numFmtId="0" fontId="15" fillId="12" borderId="47" xfId="0" applyFont="1" applyFill="1" applyBorder="1" applyAlignment="1">
      <alignment horizontal="center" vertical="center"/>
    </xf>
    <xf numFmtId="0" fontId="20" fillId="12" borderId="47" xfId="0" applyFont="1" applyFill="1" applyBorder="1" applyAlignment="1">
      <alignment horizontal="center" vertical="center" wrapText="1"/>
    </xf>
    <xf numFmtId="0" fontId="20" fillId="12" borderId="47" xfId="0" applyFont="1" applyFill="1" applyBorder="1" applyAlignment="1">
      <alignment horizontal="center" vertical="center"/>
    </xf>
    <xf numFmtId="0" fontId="21" fillId="12" borderId="47" xfId="0" applyFont="1" applyFill="1" applyBorder="1" applyAlignment="1">
      <alignment horizontal="center" vertical="center" wrapText="1"/>
    </xf>
    <xf numFmtId="177" fontId="15" fillId="12" borderId="47" xfId="0" applyNumberFormat="1" applyFont="1" applyFill="1" applyBorder="1" applyAlignment="1">
      <alignment horizontal="center" vertical="center"/>
    </xf>
    <xf numFmtId="49" fontId="15" fillId="12" borderId="47" xfId="0" applyNumberFormat="1" applyFont="1" applyFill="1" applyBorder="1" applyAlignment="1">
      <alignment horizontal="center" vertical="center" wrapText="1"/>
    </xf>
    <xf numFmtId="0" fontId="17" fillId="12" borderId="52" xfId="0" applyFont="1" applyFill="1" applyBorder="1">
      <alignment vertical="center"/>
    </xf>
    <xf numFmtId="0" fontId="21" fillId="0" borderId="47" xfId="0" applyFont="1" applyBorder="1" applyAlignment="1">
      <alignment horizontal="center" vertical="center" wrapText="1"/>
    </xf>
    <xf numFmtId="0" fontId="20" fillId="0" borderId="47" xfId="0" applyFont="1" applyBorder="1" applyAlignment="1">
      <alignment horizontal="center" vertical="center" wrapText="1"/>
    </xf>
    <xf numFmtId="0" fontId="20" fillId="0" borderId="47" xfId="0" applyFont="1" applyBorder="1" applyAlignment="1">
      <alignment horizontal="center" vertical="center"/>
    </xf>
    <xf numFmtId="0" fontId="24" fillId="0" borderId="47" xfId="0" applyFont="1" applyBorder="1" applyAlignment="1">
      <alignment horizontal="center" vertical="center" wrapText="1"/>
    </xf>
    <xf numFmtId="0" fontId="14" fillId="3" borderId="11" xfId="0" applyFont="1" applyFill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14" fontId="14" fillId="0" borderId="11" xfId="0" applyNumberFormat="1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 wrapText="1"/>
    </xf>
    <xf numFmtId="14" fontId="12" fillId="0" borderId="20" xfId="0" applyNumberFormat="1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7" fillId="12" borderId="51" xfId="0" applyFont="1" applyFill="1" applyBorder="1" applyAlignment="1">
      <alignment horizontal="center" vertical="center"/>
    </xf>
    <xf numFmtId="0" fontId="17" fillId="12" borderId="47" xfId="0" applyFont="1" applyFill="1" applyBorder="1" applyAlignment="1">
      <alignment horizontal="center" vertical="center"/>
    </xf>
    <xf numFmtId="0" fontId="17" fillId="12" borderId="47" xfId="0" applyFont="1" applyFill="1" applyBorder="1" applyAlignment="1">
      <alignment horizontal="center" vertical="center" wrapText="1"/>
    </xf>
    <xf numFmtId="49" fontId="17" fillId="12" borderId="47" xfId="0" applyNumberFormat="1" applyFont="1" applyFill="1" applyBorder="1" applyAlignment="1">
      <alignment horizontal="center" vertical="center"/>
    </xf>
    <xf numFmtId="0" fontId="17" fillId="12" borderId="52" xfId="0" applyFont="1" applyFill="1" applyBorder="1" applyAlignment="1">
      <alignment horizontal="center" vertical="center"/>
    </xf>
    <xf numFmtId="0" fontId="24" fillId="12" borderId="47" xfId="0" applyFont="1" applyFill="1" applyBorder="1" applyAlignment="1">
      <alignment horizontal="center" vertical="center" wrapText="1"/>
    </xf>
    <xf numFmtId="0" fontId="15" fillId="12" borderId="47" xfId="0" applyFont="1" applyFill="1" applyBorder="1" applyAlignment="1">
      <alignment horizontal="center" vertical="center" wrapText="1"/>
    </xf>
    <xf numFmtId="177" fontId="30" fillId="12" borderId="47" xfId="0" quotePrefix="1" applyNumberFormat="1" applyFont="1" applyFill="1" applyBorder="1" applyAlignment="1">
      <alignment horizontal="center" vertical="center"/>
    </xf>
    <xf numFmtId="49" fontId="15" fillId="12" borderId="47" xfId="0" applyNumberFormat="1" applyFont="1" applyFill="1" applyBorder="1">
      <alignment vertical="center"/>
    </xf>
    <xf numFmtId="49" fontId="30" fillId="12" borderId="47" xfId="0" applyNumberFormat="1" applyFont="1" applyFill="1" applyBorder="1" applyAlignment="1">
      <alignment horizontal="center" vertical="center"/>
    </xf>
    <xf numFmtId="178" fontId="17" fillId="12" borderId="47" xfId="0" applyNumberFormat="1" applyFont="1" applyFill="1" applyBorder="1" applyAlignment="1">
      <alignment horizontal="center" vertical="center"/>
    </xf>
    <xf numFmtId="49" fontId="15" fillId="6" borderId="58" xfId="0" applyNumberFormat="1" applyFont="1" applyFill="1" applyBorder="1" applyAlignment="1">
      <alignment horizontal="center" vertical="center"/>
    </xf>
    <xf numFmtId="49" fontId="17" fillId="0" borderId="58" xfId="0" applyNumberFormat="1" applyFont="1" applyBorder="1" applyAlignment="1">
      <alignment horizontal="center" vertical="center"/>
    </xf>
    <xf numFmtId="0" fontId="17" fillId="0" borderId="58" xfId="0" applyFont="1" applyBorder="1" applyAlignment="1">
      <alignment horizontal="center" vertical="center"/>
    </xf>
    <xf numFmtId="0" fontId="17" fillId="0" borderId="58" xfId="0" applyFont="1" applyBorder="1" applyAlignment="1">
      <alignment horizontal="center" vertical="center" wrapText="1"/>
    </xf>
    <xf numFmtId="0" fontId="17" fillId="0" borderId="59" xfId="0" applyFont="1" applyBorder="1" applyAlignment="1">
      <alignment horizontal="center" vertical="center"/>
    </xf>
    <xf numFmtId="0" fontId="17" fillId="0" borderId="57" xfId="0" applyFont="1" applyBorder="1" applyAlignment="1">
      <alignment horizontal="center" vertical="center"/>
    </xf>
    <xf numFmtId="14" fontId="15" fillId="6" borderId="47" xfId="0" applyNumberFormat="1" applyFont="1" applyFill="1" applyBorder="1" applyAlignment="1">
      <alignment horizontal="center" vertical="center"/>
    </xf>
    <xf numFmtId="14" fontId="15" fillId="0" borderId="47" xfId="0" applyNumberFormat="1" applyFont="1" applyBorder="1" applyAlignment="1">
      <alignment horizontal="center" vertical="center"/>
    </xf>
    <xf numFmtId="14" fontId="15" fillId="10" borderId="47" xfId="0" applyNumberFormat="1" applyFont="1" applyFill="1" applyBorder="1" applyAlignment="1">
      <alignment horizontal="center" vertical="center"/>
    </xf>
    <xf numFmtId="14" fontId="17" fillId="6" borderId="47" xfId="0" applyNumberFormat="1" applyFont="1" applyFill="1" applyBorder="1" applyAlignment="1">
      <alignment horizontal="center" vertical="center"/>
    </xf>
    <xf numFmtId="14" fontId="17" fillId="10" borderId="47" xfId="0" applyNumberFormat="1" applyFont="1" applyFill="1" applyBorder="1" applyAlignment="1">
      <alignment horizontal="center" vertical="center"/>
    </xf>
    <xf numFmtId="14" fontId="17" fillId="0" borderId="47" xfId="0" applyNumberFormat="1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0" fontId="12" fillId="0" borderId="60" xfId="0" applyFont="1" applyBorder="1" applyAlignment="1">
      <alignment horizontal="center" vertical="center" wrapText="1"/>
    </xf>
    <xf numFmtId="14" fontId="12" fillId="0" borderId="61" xfId="0" applyNumberFormat="1" applyFont="1" applyBorder="1" applyAlignment="1">
      <alignment horizontal="center" vertical="center" wrapText="1"/>
    </xf>
    <xf numFmtId="0" fontId="12" fillId="0" borderId="61" xfId="0" applyFont="1" applyBorder="1" applyAlignment="1">
      <alignment horizontal="center" vertical="center" wrapText="1"/>
    </xf>
    <xf numFmtId="0" fontId="12" fillId="0" borderId="63" xfId="0" applyFont="1" applyBorder="1" applyAlignment="1">
      <alignment horizontal="center" vertical="center" wrapText="1"/>
    </xf>
    <xf numFmtId="14" fontId="12" fillId="0" borderId="64" xfId="0" applyNumberFormat="1" applyFont="1" applyBorder="1" applyAlignment="1">
      <alignment horizontal="center" vertical="center" wrapText="1"/>
    </xf>
    <xf numFmtId="0" fontId="12" fillId="0" borderId="64" xfId="0" applyFont="1" applyBorder="1" applyAlignment="1">
      <alignment horizontal="center" vertical="center" wrapText="1"/>
    </xf>
    <xf numFmtId="14" fontId="12" fillId="0" borderId="66" xfId="0" applyNumberFormat="1" applyFont="1" applyBorder="1" applyAlignment="1">
      <alignment horizontal="center" vertical="center" wrapText="1"/>
    </xf>
    <xf numFmtId="0" fontId="12" fillId="0" borderId="66" xfId="0" applyFont="1" applyBorder="1" applyAlignment="1">
      <alignment horizontal="center" vertical="center" wrapText="1"/>
    </xf>
    <xf numFmtId="0" fontId="12" fillId="0" borderId="68" xfId="0" applyFont="1" applyBorder="1" applyAlignment="1">
      <alignment horizontal="center" vertical="center" wrapText="1"/>
    </xf>
    <xf numFmtId="14" fontId="12" fillId="0" borderId="69" xfId="0" applyNumberFormat="1" applyFont="1" applyBorder="1" applyAlignment="1">
      <alignment horizontal="center" vertical="center" wrapText="1"/>
    </xf>
    <xf numFmtId="0" fontId="12" fillId="0" borderId="69" xfId="0" applyFont="1" applyBorder="1" applyAlignment="1">
      <alignment horizontal="center" vertical="center" wrapText="1"/>
    </xf>
    <xf numFmtId="0" fontId="12" fillId="0" borderId="71" xfId="0" applyFont="1" applyBorder="1" applyAlignment="1">
      <alignment horizontal="center" vertical="center" wrapText="1"/>
    </xf>
    <xf numFmtId="178" fontId="17" fillId="0" borderId="47" xfId="0" applyNumberFormat="1" applyFont="1" applyBorder="1" applyAlignment="1">
      <alignment horizontal="center" vertical="center"/>
    </xf>
    <xf numFmtId="0" fontId="17" fillId="10" borderId="57" xfId="0" applyFont="1" applyFill="1" applyBorder="1" applyAlignment="1">
      <alignment horizontal="center" vertical="center"/>
    </xf>
    <xf numFmtId="49" fontId="15" fillId="10" borderId="58" xfId="0" applyNumberFormat="1" applyFont="1" applyFill="1" applyBorder="1" applyAlignment="1">
      <alignment horizontal="center" vertical="center"/>
    </xf>
    <xf numFmtId="49" fontId="17" fillId="10" borderId="58" xfId="0" applyNumberFormat="1" applyFont="1" applyFill="1" applyBorder="1" applyAlignment="1">
      <alignment horizontal="center" vertical="center"/>
    </xf>
    <xf numFmtId="0" fontId="17" fillId="10" borderId="58" xfId="0" applyFont="1" applyFill="1" applyBorder="1" applyAlignment="1">
      <alignment horizontal="center" vertical="center"/>
    </xf>
    <xf numFmtId="0" fontId="17" fillId="10" borderId="58" xfId="0" applyFont="1" applyFill="1" applyBorder="1" applyAlignment="1">
      <alignment horizontal="center" vertical="center" wrapText="1"/>
    </xf>
    <xf numFmtId="0" fontId="17" fillId="10" borderId="59" xfId="0" applyFont="1" applyFill="1" applyBorder="1" applyAlignment="1">
      <alignment horizontal="center" vertical="center"/>
    </xf>
    <xf numFmtId="0" fontId="12" fillId="0" borderId="45" xfId="0" applyFont="1" applyBorder="1" applyAlignment="1">
      <alignment horizontal="center" vertical="center" wrapText="1"/>
    </xf>
    <xf numFmtId="14" fontId="12" fillId="0" borderId="45" xfId="0" applyNumberFormat="1" applyFont="1" applyBorder="1" applyAlignment="1">
      <alignment horizontal="center" vertical="center" wrapText="1"/>
    </xf>
    <xf numFmtId="0" fontId="12" fillId="0" borderId="78" xfId="0" applyFont="1" applyBorder="1" applyAlignment="1">
      <alignment horizontal="center" vertical="center" wrapText="1"/>
    </xf>
    <xf numFmtId="0" fontId="12" fillId="0" borderId="79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81" xfId="0" applyFont="1" applyBorder="1" applyAlignment="1">
      <alignment horizontal="center" vertical="center" wrapText="1"/>
    </xf>
    <xf numFmtId="49" fontId="15" fillId="0" borderId="58" xfId="0" applyNumberFormat="1" applyFont="1" applyBorder="1" applyAlignment="1">
      <alignment horizontal="center" vertical="center"/>
    </xf>
    <xf numFmtId="14" fontId="17" fillId="0" borderId="58" xfId="0" applyNumberFormat="1" applyFont="1" applyBorder="1" applyAlignment="1">
      <alignment horizontal="center" vertical="center"/>
    </xf>
    <xf numFmtId="14" fontId="17" fillId="10" borderId="58" xfId="0" applyNumberFormat="1" applyFont="1" applyFill="1" applyBorder="1" applyAlignment="1">
      <alignment horizontal="center" vertical="center"/>
    </xf>
    <xf numFmtId="49" fontId="15" fillId="10" borderId="51" xfId="0" applyNumberFormat="1" applyFont="1" applyFill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55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43" xfId="0" applyFont="1" applyBorder="1">
      <alignment vertical="center"/>
    </xf>
    <xf numFmtId="0" fontId="8" fillId="5" borderId="38" xfId="0" applyFont="1" applyFill="1" applyBorder="1" applyAlignment="1">
      <alignment horizontal="center" vertical="center"/>
    </xf>
    <xf numFmtId="0" fontId="8" fillId="5" borderId="34" xfId="0" applyFont="1" applyFill="1" applyBorder="1" applyAlignment="1">
      <alignment horizontal="center" vertical="center"/>
    </xf>
    <xf numFmtId="49" fontId="8" fillId="5" borderId="34" xfId="0" applyNumberFormat="1" applyFont="1" applyFill="1" applyBorder="1" applyAlignment="1">
      <alignment horizontal="center" vertical="center"/>
    </xf>
    <xf numFmtId="0" fontId="8" fillId="5" borderId="39" xfId="0" applyFont="1" applyFill="1" applyBorder="1" applyAlignment="1">
      <alignment horizontal="center" vertical="center"/>
    </xf>
    <xf numFmtId="0" fontId="7" fillId="0" borderId="20" xfId="0" applyFont="1" applyBorder="1" applyAlignment="1">
      <alignment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/>
    </xf>
    <xf numFmtId="0" fontId="17" fillId="0" borderId="0" xfId="0" applyFont="1" applyAlignment="1">
      <alignment vertical="center" wrapText="1"/>
    </xf>
    <xf numFmtId="0" fontId="18" fillId="6" borderId="0" xfId="0" applyFont="1" applyFill="1" applyAlignment="1">
      <alignment horizontal="center" vertical="center" wrapText="1"/>
    </xf>
    <xf numFmtId="0" fontId="27" fillId="6" borderId="0" xfId="0" applyFont="1" applyFill="1" applyAlignment="1">
      <alignment horizontal="center" vertical="center" wrapText="1"/>
    </xf>
    <xf numFmtId="0" fontId="28" fillId="6" borderId="0" xfId="0" applyFont="1" applyFill="1" applyAlignment="1">
      <alignment horizontal="center" vertical="center" wrapText="1"/>
    </xf>
    <xf numFmtId="0" fontId="19" fillId="5" borderId="49" xfId="0" applyFont="1" applyFill="1" applyBorder="1" applyAlignment="1">
      <alignment horizontal="center" vertical="center" wrapText="1"/>
    </xf>
    <xf numFmtId="0" fontId="32" fillId="12" borderId="47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8" fillId="6" borderId="36" xfId="0" applyFont="1" applyFill="1" applyBorder="1" applyAlignment="1">
      <alignment horizontal="center" vertical="center" wrapText="1"/>
    </xf>
    <xf numFmtId="0" fontId="19" fillId="5" borderId="34" xfId="0" applyFont="1" applyFill="1" applyBorder="1" applyAlignment="1">
      <alignment horizontal="center" vertical="center" wrapText="1"/>
    </xf>
    <xf numFmtId="0" fontId="7" fillId="0" borderId="43" xfId="0" applyFont="1" applyBorder="1" applyAlignment="1">
      <alignment vertical="center" wrapText="1"/>
    </xf>
    <xf numFmtId="0" fontId="8" fillId="5" borderId="34" xfId="0" applyFont="1" applyFill="1" applyBorder="1" applyAlignment="1">
      <alignment horizontal="center" vertical="center" wrapText="1"/>
    </xf>
    <xf numFmtId="0" fontId="27" fillId="6" borderId="66" xfId="0" applyFont="1" applyFill="1" applyBorder="1" applyAlignment="1">
      <alignment horizontal="center" vertical="center"/>
    </xf>
    <xf numFmtId="0" fontId="29" fillId="6" borderId="83" xfId="0" applyFont="1" applyFill="1" applyBorder="1" applyAlignment="1">
      <alignment horizontal="center" vertical="center"/>
    </xf>
    <xf numFmtId="0" fontId="29" fillId="6" borderId="67" xfId="0" applyFont="1" applyFill="1" applyBorder="1" applyAlignment="1">
      <alignment horizontal="center" vertical="center"/>
    </xf>
    <xf numFmtId="0" fontId="27" fillId="6" borderId="61" xfId="0" applyFont="1" applyFill="1" applyBorder="1" applyAlignment="1">
      <alignment horizontal="center" vertical="center"/>
    </xf>
    <xf numFmtId="0" fontId="29" fillId="6" borderId="84" xfId="0" applyFont="1" applyFill="1" applyBorder="1" applyAlignment="1">
      <alignment horizontal="center" vertical="center"/>
    </xf>
    <xf numFmtId="0" fontId="29" fillId="6" borderId="62" xfId="0" applyFont="1" applyFill="1" applyBorder="1" applyAlignment="1">
      <alignment horizontal="center" vertical="center"/>
    </xf>
    <xf numFmtId="49" fontId="33" fillId="0" borderId="47" xfId="0" applyNumberFormat="1" applyFont="1" applyBorder="1" applyAlignment="1">
      <alignment horizontal="center" vertical="center"/>
    </xf>
    <xf numFmtId="49" fontId="33" fillId="0" borderId="47" xfId="0" applyNumberFormat="1" applyFont="1" applyBorder="1" applyAlignment="1">
      <alignment horizontal="center" vertical="center" wrapText="1"/>
    </xf>
    <xf numFmtId="0" fontId="15" fillId="0" borderId="47" xfId="0" quotePrefix="1" applyFont="1" applyBorder="1" applyAlignment="1">
      <alignment horizontal="center" vertical="center"/>
    </xf>
    <xf numFmtId="49" fontId="17" fillId="10" borderId="58" xfId="0" applyNumberFormat="1" applyFont="1" applyFill="1" applyBorder="1" applyAlignment="1">
      <alignment horizontal="center" vertical="center" wrapText="1"/>
    </xf>
    <xf numFmtId="49" fontId="17" fillId="0" borderId="47" xfId="0" applyNumberFormat="1" applyFont="1" applyBorder="1" applyAlignment="1">
      <alignment horizontal="center" vertical="center" wrapText="1"/>
    </xf>
    <xf numFmtId="49" fontId="17" fillId="10" borderId="47" xfId="0" applyNumberFormat="1" applyFont="1" applyFill="1" applyBorder="1" applyAlignment="1">
      <alignment horizontal="center" vertical="center"/>
    </xf>
    <xf numFmtId="0" fontId="18" fillId="6" borderId="16" xfId="0" applyFont="1" applyFill="1" applyBorder="1" applyAlignment="1">
      <alignment horizontal="center" vertical="center"/>
    </xf>
    <xf numFmtId="0" fontId="18" fillId="6" borderId="17" xfId="0" applyFont="1" applyFill="1" applyBorder="1" applyAlignment="1">
      <alignment horizontal="center" vertical="center"/>
    </xf>
    <xf numFmtId="0" fontId="18" fillId="6" borderId="17" xfId="0" applyFont="1" applyFill="1" applyBorder="1" applyAlignment="1">
      <alignment horizontal="center" vertical="center" wrapText="1"/>
    </xf>
    <xf numFmtId="14" fontId="31" fillId="6" borderId="17" xfId="0" applyNumberFormat="1" applyFont="1" applyFill="1" applyBorder="1" applyAlignment="1">
      <alignment horizontal="right" vertical="center"/>
    </xf>
    <xf numFmtId="14" fontId="31" fillId="6" borderId="18" xfId="0" applyNumberFormat="1" applyFont="1" applyFill="1" applyBorder="1" applyAlignment="1">
      <alignment horizontal="left" vertical="center"/>
    </xf>
    <xf numFmtId="0" fontId="19" fillId="5" borderId="10" xfId="0" applyFont="1" applyFill="1" applyBorder="1" applyAlignment="1">
      <alignment horizontal="center" vertical="center"/>
    </xf>
    <xf numFmtId="0" fontId="19" fillId="5" borderId="11" xfId="0" applyFont="1" applyFill="1" applyBorder="1" applyAlignment="1">
      <alignment horizontal="center" vertical="center"/>
    </xf>
    <xf numFmtId="0" fontId="19" fillId="5" borderId="11" xfId="0" applyFont="1" applyFill="1" applyBorder="1" applyAlignment="1">
      <alignment horizontal="center" vertical="center" wrapText="1"/>
    </xf>
    <xf numFmtId="0" fontId="19" fillId="5" borderId="12" xfId="0" applyFont="1" applyFill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11" xfId="0" applyFont="1" applyBorder="1" applyAlignment="1">
      <alignment horizontal="left" vertical="center"/>
    </xf>
    <xf numFmtId="0" fontId="15" fillId="0" borderId="11" xfId="0" applyFont="1" applyBorder="1" applyAlignment="1">
      <alignment horizontal="left" vertical="center" wrapText="1"/>
    </xf>
    <xf numFmtId="0" fontId="34" fillId="0" borderId="0" xfId="0" applyFont="1" applyAlignment="1">
      <alignment horizontal="left" vertical="center" wrapText="1"/>
    </xf>
    <xf numFmtId="0" fontId="15" fillId="0" borderId="20" xfId="0" applyFont="1" applyBorder="1" applyAlignment="1">
      <alignment horizontal="left" vertical="center"/>
    </xf>
    <xf numFmtId="0" fontId="15" fillId="0" borderId="23" xfId="0" applyFont="1" applyBorder="1" applyAlignment="1">
      <alignment horizontal="center" vertical="center"/>
    </xf>
    <xf numFmtId="0" fontId="15" fillId="0" borderId="45" xfId="0" applyFont="1" applyBorder="1" applyAlignment="1">
      <alignment horizontal="left" vertical="center"/>
    </xf>
    <xf numFmtId="0" fontId="15" fillId="0" borderId="88" xfId="0" applyFont="1" applyBorder="1" applyAlignment="1">
      <alignment horizontal="left" vertical="center" wrapText="1"/>
    </xf>
    <xf numFmtId="0" fontId="15" fillId="0" borderId="26" xfId="0" applyFont="1" applyBorder="1" applyAlignment="1">
      <alignment horizontal="left" vertical="center"/>
    </xf>
    <xf numFmtId="0" fontId="15" fillId="0" borderId="13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14" xfId="0" applyFont="1" applyBorder="1" applyAlignment="1">
      <alignment horizontal="left" vertical="center"/>
    </xf>
    <xf numFmtId="0" fontId="15" fillId="0" borderId="14" xfId="0" applyFont="1" applyBorder="1" applyAlignment="1">
      <alignment horizontal="left" vertical="center" wrapText="1"/>
    </xf>
    <xf numFmtId="0" fontId="15" fillId="0" borderId="11" xfId="0" applyFont="1" applyBorder="1" applyAlignment="1">
      <alignment vertical="center" wrapText="1"/>
    </xf>
    <xf numFmtId="0" fontId="15" fillId="0" borderId="14" xfId="0" applyFont="1" applyBorder="1" applyAlignment="1">
      <alignment vertical="center" wrapText="1"/>
    </xf>
    <xf numFmtId="0" fontId="19" fillId="5" borderId="89" xfId="0" applyFont="1" applyFill="1" applyBorder="1" applyAlignment="1">
      <alignment horizontal="center" vertical="center"/>
    </xf>
    <xf numFmtId="0" fontId="19" fillId="5" borderId="90" xfId="0" applyFont="1" applyFill="1" applyBorder="1" applyAlignment="1">
      <alignment horizontal="center" vertical="center"/>
    </xf>
    <xf numFmtId="0" fontId="19" fillId="5" borderId="91" xfId="0" applyFont="1" applyFill="1" applyBorder="1" applyAlignment="1">
      <alignment horizontal="center" vertical="center"/>
    </xf>
    <xf numFmtId="0" fontId="19" fillId="5" borderId="91" xfId="0" applyFont="1" applyFill="1" applyBorder="1" applyAlignment="1">
      <alignment horizontal="center" vertical="center" wrapText="1"/>
    </xf>
    <xf numFmtId="49" fontId="19" fillId="5" borderId="91" xfId="0" applyNumberFormat="1" applyFont="1" applyFill="1" applyBorder="1" applyAlignment="1">
      <alignment horizontal="center" vertical="center"/>
    </xf>
    <xf numFmtId="49" fontId="19" fillId="5" borderId="92" xfId="0" applyNumberFormat="1" applyFont="1" applyFill="1" applyBorder="1" applyAlignment="1">
      <alignment horizontal="center" vertical="center"/>
    </xf>
    <xf numFmtId="0" fontId="15" fillId="0" borderId="81" xfId="0" applyFont="1" applyBorder="1" applyAlignment="1">
      <alignment horizontal="center" vertical="center"/>
    </xf>
    <xf numFmtId="0" fontId="15" fillId="0" borderId="80" xfId="0" applyFont="1" applyBorder="1" applyAlignment="1">
      <alignment horizontal="center" vertical="center"/>
    </xf>
    <xf numFmtId="49" fontId="15" fillId="0" borderId="80" xfId="0" applyNumberFormat="1" applyFont="1" applyBorder="1" applyAlignment="1">
      <alignment horizontal="center" vertical="center"/>
    </xf>
    <xf numFmtId="177" fontId="15" fillId="0" borderId="80" xfId="0" applyNumberFormat="1" applyFont="1" applyBorder="1" applyAlignment="1">
      <alignment horizontal="center" vertical="center"/>
    </xf>
    <xf numFmtId="49" fontId="15" fillId="6" borderId="80" xfId="0" applyNumberFormat="1" applyFont="1" applyFill="1" applyBorder="1" applyAlignment="1">
      <alignment horizontal="center" vertical="center"/>
    </xf>
    <xf numFmtId="0" fontId="15" fillId="6" borderId="80" xfId="0" applyFont="1" applyFill="1" applyBorder="1" applyAlignment="1">
      <alignment horizontal="center" vertical="center"/>
    </xf>
    <xf numFmtId="177" fontId="15" fillId="6" borderId="80" xfId="0" applyNumberFormat="1" applyFont="1" applyFill="1" applyBorder="1" applyAlignment="1">
      <alignment horizontal="center" vertical="center"/>
    </xf>
    <xf numFmtId="177" fontId="15" fillId="6" borderId="80" xfId="0" quotePrefix="1" applyNumberFormat="1" applyFont="1" applyFill="1" applyBorder="1" applyAlignment="1">
      <alignment horizontal="center" vertical="center"/>
    </xf>
    <xf numFmtId="0" fontId="15" fillId="0" borderId="93" xfId="0" applyFont="1" applyBorder="1" applyAlignment="1">
      <alignment horizontal="center" vertical="center"/>
    </xf>
    <xf numFmtId="0" fontId="15" fillId="6" borderId="94" xfId="0" applyFont="1" applyFill="1" applyBorder="1" applyAlignment="1">
      <alignment horizontal="center" vertical="center"/>
    </xf>
    <xf numFmtId="0" fontId="15" fillId="6" borderId="95" xfId="0" applyFont="1" applyFill="1" applyBorder="1" applyAlignment="1">
      <alignment horizontal="center" vertical="center"/>
    </xf>
    <xf numFmtId="0" fontId="15" fillId="6" borderId="95" xfId="0" applyFont="1" applyFill="1" applyBorder="1" applyAlignment="1">
      <alignment horizontal="center" vertical="center" wrapText="1"/>
    </xf>
    <xf numFmtId="49" fontId="15" fillId="6" borderId="96" xfId="0" applyNumberFormat="1" applyFont="1" applyFill="1" applyBorder="1" applyAlignment="1">
      <alignment horizontal="center" vertical="center"/>
    </xf>
    <xf numFmtId="0" fontId="15" fillId="6" borderId="97" xfId="0" applyFont="1" applyFill="1" applyBorder="1" applyAlignment="1">
      <alignment horizontal="center" vertical="center"/>
    </xf>
    <xf numFmtId="0" fontId="15" fillId="6" borderId="98" xfId="0" applyFont="1" applyFill="1" applyBorder="1" applyAlignment="1">
      <alignment horizontal="center" vertical="center"/>
    </xf>
    <xf numFmtId="0" fontId="15" fillId="6" borderId="98" xfId="0" applyFont="1" applyFill="1" applyBorder="1" applyAlignment="1">
      <alignment horizontal="center" vertical="center" wrapText="1"/>
    </xf>
    <xf numFmtId="49" fontId="15" fillId="0" borderId="80" xfId="0" quotePrefix="1" applyNumberFormat="1" applyFont="1" applyBorder="1" applyAlignment="1">
      <alignment horizontal="center" vertical="center"/>
    </xf>
    <xf numFmtId="0" fontId="15" fillId="0" borderId="80" xfId="0" applyFont="1" applyBorder="1" applyAlignment="1">
      <alignment horizontal="center" vertical="center" wrapText="1"/>
    </xf>
    <xf numFmtId="49" fontId="15" fillId="6" borderId="99" xfId="0" applyNumberFormat="1" applyFont="1" applyFill="1" applyBorder="1" applyAlignment="1">
      <alignment horizontal="center" vertical="center"/>
    </xf>
    <xf numFmtId="49" fontId="19" fillId="5" borderId="11" xfId="0" applyNumberFormat="1" applyFont="1" applyFill="1" applyBorder="1" applyAlignment="1">
      <alignment horizontal="center" vertical="center"/>
    </xf>
    <xf numFmtId="0" fontId="17" fillId="0" borderId="100" xfId="0" applyFont="1" applyBorder="1" applyAlignment="1">
      <alignment horizontal="center" vertical="center"/>
    </xf>
    <xf numFmtId="49" fontId="15" fillId="6" borderId="101" xfId="0" applyNumberFormat="1" applyFont="1" applyFill="1" applyBorder="1" applyAlignment="1">
      <alignment horizontal="center" vertical="center"/>
    </xf>
    <xf numFmtId="49" fontId="17" fillId="0" borderId="101" xfId="0" applyNumberFormat="1" applyFont="1" applyBorder="1" applyAlignment="1">
      <alignment horizontal="center" vertical="center"/>
    </xf>
    <xf numFmtId="0" fontId="17" fillId="0" borderId="101" xfId="0" applyFont="1" applyBorder="1" applyAlignment="1">
      <alignment horizontal="center" vertical="center"/>
    </xf>
    <xf numFmtId="0" fontId="17" fillId="0" borderId="101" xfId="0" applyFont="1" applyBorder="1" applyAlignment="1">
      <alignment horizontal="center" vertical="center" wrapText="1"/>
    </xf>
    <xf numFmtId="49" fontId="15" fillId="0" borderId="101" xfId="0" applyNumberFormat="1" applyFont="1" applyBorder="1" applyAlignment="1">
      <alignment horizontal="center" vertical="center"/>
    </xf>
    <xf numFmtId="14" fontId="17" fillId="0" borderId="101" xfId="0" applyNumberFormat="1" applyFont="1" applyBorder="1" applyAlignment="1">
      <alignment horizontal="center" vertical="center"/>
    </xf>
    <xf numFmtId="0" fontId="17" fillId="0" borderId="102" xfId="0" applyFont="1" applyBorder="1" applyAlignment="1">
      <alignment horizontal="center" vertical="center"/>
    </xf>
    <xf numFmtId="0" fontId="17" fillId="0" borderId="103" xfId="0" applyFont="1" applyBorder="1" applyAlignment="1">
      <alignment horizontal="center" vertical="center"/>
    </xf>
    <xf numFmtId="49" fontId="15" fillId="6" borderId="104" xfId="0" applyNumberFormat="1" applyFont="1" applyFill="1" applyBorder="1" applyAlignment="1">
      <alignment horizontal="center" vertical="center"/>
    </xf>
    <xf numFmtId="49" fontId="17" fillId="0" borderId="104" xfId="0" applyNumberFormat="1" applyFont="1" applyBorder="1" applyAlignment="1">
      <alignment horizontal="center" vertical="center"/>
    </xf>
    <xf numFmtId="0" fontId="17" fillId="0" borderId="104" xfId="0" applyFont="1" applyBorder="1" applyAlignment="1">
      <alignment horizontal="center" vertical="center"/>
    </xf>
    <xf numFmtId="0" fontId="17" fillId="0" borderId="104" xfId="0" applyFont="1" applyBorder="1" applyAlignment="1">
      <alignment horizontal="center" vertical="center" wrapText="1"/>
    </xf>
    <xf numFmtId="49" fontId="15" fillId="0" borderId="104" xfId="0" applyNumberFormat="1" applyFont="1" applyBorder="1" applyAlignment="1">
      <alignment horizontal="center" vertical="center"/>
    </xf>
    <xf numFmtId="14" fontId="17" fillId="0" borderId="104" xfId="0" applyNumberFormat="1" applyFont="1" applyBorder="1" applyAlignment="1">
      <alignment horizontal="center" vertical="center"/>
    </xf>
    <xf numFmtId="0" fontId="17" fillId="0" borderId="105" xfId="0" applyFont="1" applyBorder="1" applyAlignment="1">
      <alignment horizontal="center" vertical="center"/>
    </xf>
    <xf numFmtId="49" fontId="35" fillId="0" borderId="47" xfId="0" applyNumberFormat="1" applyFont="1" applyBorder="1" applyAlignment="1">
      <alignment horizontal="center" vertical="center"/>
    </xf>
    <xf numFmtId="0" fontId="12" fillId="0" borderId="45" xfId="0" applyFont="1" applyBorder="1" applyAlignment="1">
      <alignment horizontal="left" vertical="center" wrapText="1"/>
    </xf>
    <xf numFmtId="0" fontId="12" fillId="0" borderId="80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 vertical="center" wrapText="1" indent="1"/>
    </xf>
    <xf numFmtId="0" fontId="12" fillId="0" borderId="12" xfId="0" applyFont="1" applyBorder="1" applyAlignment="1">
      <alignment horizontal="left" vertical="center" wrapText="1" indent="1"/>
    </xf>
    <xf numFmtId="0" fontId="14" fillId="0" borderId="11" xfId="0" applyFont="1" applyBorder="1" applyAlignment="1">
      <alignment horizontal="left" vertical="center" wrapText="1" indent="1"/>
    </xf>
    <xf numFmtId="0" fontId="14" fillId="0" borderId="12" xfId="0" applyFont="1" applyBorder="1" applyAlignment="1">
      <alignment horizontal="left" vertical="center" wrapText="1" indent="1"/>
    </xf>
    <xf numFmtId="0" fontId="12" fillId="0" borderId="69" xfId="0" applyFont="1" applyBorder="1" applyAlignment="1">
      <alignment horizontal="left" vertical="center" wrapText="1"/>
    </xf>
    <xf numFmtId="0" fontId="12" fillId="0" borderId="70" xfId="0" applyFont="1" applyBorder="1" applyAlignment="1">
      <alignment horizontal="left" vertical="center" wrapText="1"/>
    </xf>
    <xf numFmtId="0" fontId="12" fillId="0" borderId="72" xfId="0" applyFont="1" applyBorder="1" applyAlignment="1">
      <alignment horizontal="left" vertical="center" wrapText="1"/>
    </xf>
    <xf numFmtId="0" fontId="12" fillId="0" borderId="73" xfId="0" applyFont="1" applyBorder="1" applyAlignment="1">
      <alignment horizontal="left" vertical="center" wrapText="1"/>
    </xf>
    <xf numFmtId="0" fontId="12" fillId="0" borderId="74" xfId="0" applyFont="1" applyBorder="1" applyAlignment="1">
      <alignment horizontal="left" vertical="center" wrapText="1"/>
    </xf>
    <xf numFmtId="0" fontId="9" fillId="4" borderId="0" xfId="1" applyFont="1" applyFill="1" applyAlignment="1">
      <alignment horizontal="center" vertical="center"/>
    </xf>
    <xf numFmtId="0" fontId="11" fillId="0" borderId="16" xfId="1" applyFont="1" applyBorder="1" applyAlignment="1">
      <alignment horizontal="center" vertical="center"/>
    </xf>
    <xf numFmtId="0" fontId="11" fillId="0" borderId="17" xfId="1" applyFont="1" applyBorder="1" applyAlignment="1">
      <alignment horizontal="center" vertical="center"/>
    </xf>
    <xf numFmtId="14" fontId="11" fillId="0" borderId="17" xfId="1" applyNumberFormat="1" applyFont="1" applyBorder="1" applyAlignment="1">
      <alignment horizontal="center" vertical="center"/>
    </xf>
    <xf numFmtId="14" fontId="11" fillId="0" borderId="18" xfId="1" applyNumberFormat="1" applyFont="1" applyBorder="1" applyAlignment="1">
      <alignment horizontal="center" vertical="center"/>
    </xf>
    <xf numFmtId="0" fontId="11" fillId="0" borderId="13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15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8" fillId="5" borderId="7" xfId="1" applyFont="1" applyFill="1" applyBorder="1" applyAlignment="1">
      <alignment horizontal="left" vertical="center"/>
    </xf>
    <xf numFmtId="0" fontId="8" fillId="5" borderId="8" xfId="1" applyFont="1" applyFill="1" applyBorder="1" applyAlignment="1">
      <alignment horizontal="left" vertical="center"/>
    </xf>
    <xf numFmtId="0" fontId="8" fillId="5" borderId="9" xfId="1" applyFont="1" applyFill="1" applyBorder="1" applyAlignment="1">
      <alignment horizontal="left" vertical="center"/>
    </xf>
    <xf numFmtId="0" fontId="13" fillId="2" borderId="16" xfId="0" applyFont="1" applyFill="1" applyBorder="1" applyAlignment="1">
      <alignment horizontal="justify" vertical="center" wrapText="1"/>
    </xf>
    <xf numFmtId="0" fontId="13" fillId="2" borderId="17" xfId="0" applyFont="1" applyFill="1" applyBorder="1" applyAlignment="1">
      <alignment horizontal="justify" vertical="center" wrapText="1"/>
    </xf>
    <xf numFmtId="0" fontId="13" fillId="2" borderId="18" xfId="0" applyFont="1" applyFill="1" applyBorder="1" applyAlignment="1">
      <alignment horizontal="justify" vertical="center" wrapText="1"/>
    </xf>
    <xf numFmtId="0" fontId="14" fillId="3" borderId="11" xfId="0" applyFont="1" applyFill="1" applyBorder="1" applyAlignment="1">
      <alignment horizontal="center" vertical="center" wrapText="1"/>
    </xf>
    <xf numFmtId="0" fontId="14" fillId="3" borderId="12" xfId="0" applyFont="1" applyFill="1" applyBorder="1" applyAlignment="1">
      <alignment horizontal="center" vertical="center" wrapText="1"/>
    </xf>
    <xf numFmtId="0" fontId="12" fillId="0" borderId="23" xfId="0" applyFont="1" applyBorder="1" applyAlignment="1">
      <alignment horizontal="left" vertical="center" wrapText="1"/>
    </xf>
    <xf numFmtId="0" fontId="12" fillId="0" borderId="53" xfId="0" applyFont="1" applyBorder="1" applyAlignment="1">
      <alignment horizontal="left" vertical="center" wrapText="1"/>
    </xf>
    <xf numFmtId="0" fontId="12" fillId="0" borderId="54" xfId="0" applyFont="1" applyBorder="1" applyAlignment="1">
      <alignment horizontal="left" vertical="center" wrapText="1"/>
    </xf>
    <xf numFmtId="0" fontId="12" fillId="0" borderId="61" xfId="0" applyFont="1" applyBorder="1" applyAlignment="1">
      <alignment horizontal="left" vertical="center" wrapText="1"/>
    </xf>
    <xf numFmtId="0" fontId="12" fillId="0" borderId="62" xfId="0" applyFont="1" applyBorder="1" applyAlignment="1">
      <alignment horizontal="left" vertical="center" wrapText="1"/>
    </xf>
    <xf numFmtId="0" fontId="12" fillId="0" borderId="85" xfId="0" applyFont="1" applyBorder="1" applyAlignment="1">
      <alignment horizontal="left" vertical="center" wrapText="1"/>
    </xf>
    <xf numFmtId="0" fontId="12" fillId="0" borderId="86" xfId="0" applyFont="1" applyBorder="1" applyAlignment="1">
      <alignment horizontal="left" vertical="center" wrapText="1"/>
    </xf>
    <xf numFmtId="0" fontId="12" fillId="0" borderId="87" xfId="0" applyFont="1" applyBorder="1" applyAlignment="1">
      <alignment horizontal="left" vertical="center" wrapText="1"/>
    </xf>
    <xf numFmtId="0" fontId="12" fillId="0" borderId="75" xfId="0" applyFont="1" applyBorder="1" applyAlignment="1">
      <alignment horizontal="left" vertical="center" wrapText="1"/>
    </xf>
    <xf numFmtId="0" fontId="12" fillId="0" borderId="76" xfId="0" applyFont="1" applyBorder="1" applyAlignment="1">
      <alignment horizontal="left" vertical="center" wrapText="1"/>
    </xf>
    <xf numFmtId="0" fontId="12" fillId="0" borderId="77" xfId="0" applyFont="1" applyBorder="1" applyAlignment="1">
      <alignment horizontal="left" vertical="center" wrapText="1"/>
    </xf>
    <xf numFmtId="0" fontId="12" fillId="0" borderId="64" xfId="0" applyFont="1" applyBorder="1" applyAlignment="1">
      <alignment horizontal="left" vertical="center" wrapText="1"/>
    </xf>
    <xf numFmtId="0" fontId="12" fillId="0" borderId="65" xfId="0" applyFont="1" applyBorder="1" applyAlignment="1">
      <alignment horizontal="left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53" xfId="0" applyFont="1" applyBorder="1" applyAlignment="1">
      <alignment horizontal="center" vertical="center" wrapText="1"/>
    </xf>
    <xf numFmtId="0" fontId="12" fillId="0" borderId="54" xfId="0" applyFont="1" applyBorder="1" applyAlignment="1">
      <alignment horizontal="center" vertical="center" wrapText="1"/>
    </xf>
    <xf numFmtId="0" fontId="12" fillId="0" borderId="78" xfId="0" applyFont="1" applyBorder="1" applyAlignment="1">
      <alignment horizontal="left" vertical="center" wrapText="1"/>
    </xf>
    <xf numFmtId="0" fontId="19" fillId="5" borderId="19" xfId="0" applyFont="1" applyFill="1" applyBorder="1" applyAlignment="1">
      <alignment horizontal="center" vertical="center"/>
    </xf>
    <xf numFmtId="0" fontId="19" fillId="5" borderId="82" xfId="0" applyFont="1" applyFill="1" applyBorder="1" applyAlignment="1">
      <alignment horizontal="center" vertical="center"/>
    </xf>
    <xf numFmtId="0" fontId="19" fillId="5" borderId="31" xfId="0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18" fillId="5" borderId="5" xfId="0" applyFont="1" applyFill="1" applyBorder="1" applyAlignment="1">
      <alignment horizontal="center" vertical="center"/>
    </xf>
    <xf numFmtId="0" fontId="18" fillId="5" borderId="5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/>
    </xf>
    <xf numFmtId="0" fontId="18" fillId="5" borderId="3" xfId="0" applyFont="1" applyFill="1" applyBorder="1" applyAlignment="1">
      <alignment horizontal="center" vertical="center"/>
    </xf>
    <xf numFmtId="0" fontId="18" fillId="5" borderId="3" xfId="0" applyFont="1" applyFill="1" applyBorder="1" applyAlignment="1">
      <alignment horizontal="center" vertical="center" wrapText="1"/>
    </xf>
    <xf numFmtId="0" fontId="26" fillId="5" borderId="33" xfId="0" applyFont="1" applyFill="1" applyBorder="1" applyAlignment="1">
      <alignment horizontal="center" vertical="center"/>
    </xf>
    <xf numFmtId="0" fontId="26" fillId="5" borderId="25" xfId="0" applyFont="1" applyFill="1" applyBorder="1" applyAlignment="1">
      <alignment horizontal="center" vertical="center"/>
    </xf>
    <xf numFmtId="0" fontId="26" fillId="5" borderId="32" xfId="0" applyFont="1" applyFill="1" applyBorder="1" applyAlignment="1">
      <alignment horizontal="center" vertical="center"/>
    </xf>
    <xf numFmtId="0" fontId="26" fillId="5" borderId="26" xfId="0" applyFont="1" applyFill="1" applyBorder="1" applyAlignment="1">
      <alignment horizontal="center" vertical="center"/>
    </xf>
    <xf numFmtId="0" fontId="26" fillId="5" borderId="24" xfId="0" applyFont="1" applyFill="1" applyBorder="1" applyAlignment="1">
      <alignment horizontal="center" vertical="center"/>
    </xf>
    <xf numFmtId="0" fontId="26" fillId="5" borderId="9" xfId="0" applyFont="1" applyFill="1" applyBorder="1" applyAlignment="1">
      <alignment horizontal="center" vertical="center"/>
    </xf>
    <xf numFmtId="0" fontId="26" fillId="5" borderId="19" xfId="0" applyFont="1" applyFill="1" applyBorder="1" applyAlignment="1">
      <alignment horizontal="center" vertical="center" wrapText="1"/>
    </xf>
    <xf numFmtId="0" fontId="26" fillId="5" borderId="82" xfId="0" applyFont="1" applyFill="1" applyBorder="1" applyAlignment="1">
      <alignment horizontal="center" vertical="center" wrapText="1"/>
    </xf>
    <xf numFmtId="0" fontId="23" fillId="5" borderId="0" xfId="0" applyFont="1" applyFill="1" applyAlignment="1">
      <alignment horizontal="center" vertical="center"/>
    </xf>
    <xf numFmtId="0" fontId="18" fillId="5" borderId="0" xfId="0" applyFont="1" applyFill="1" applyAlignment="1">
      <alignment horizontal="center" vertical="center"/>
    </xf>
  </cellXfs>
  <cellStyles count="8">
    <cellStyle name="나쁨" xfId="7" builtinId="27"/>
    <cellStyle name="백분율 2" xfId="4"/>
    <cellStyle name="쉼표 [0] 2" xfId="3"/>
    <cellStyle name="통화 [0] 2" xfId="5"/>
    <cellStyle name="표준" xfId="0" builtinId="0"/>
    <cellStyle name="표준 2" xfId="1"/>
    <cellStyle name="표준 2 2" xfId="2"/>
    <cellStyle name="표준 3" xfId="6"/>
  </cellStyles>
  <dxfs count="3">
    <dxf>
      <font>
        <b/>
        <i val="0"/>
        <color rgb="FFFF0000"/>
      </font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090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36"/>
  <sheetViews>
    <sheetView showGridLines="0" topLeftCell="A225" zoomScaleNormal="100" zoomScalePageLayoutView="70" workbookViewId="0">
      <selection activeCell="P228" sqref="P228"/>
    </sheetView>
  </sheetViews>
  <sheetFormatPr defaultRowHeight="18" customHeight="1" x14ac:dyDescent="0.3"/>
  <cols>
    <col min="1" max="1" width="0.875" style="1" customWidth="1"/>
    <col min="2" max="13" width="11.125" style="1" customWidth="1"/>
    <col min="14" max="16384" width="9" style="1"/>
  </cols>
  <sheetData>
    <row r="1" spans="1:13" ht="3" customHeight="1" x14ac:dyDescent="0.3"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</row>
    <row r="2" spans="1:13" ht="18" customHeight="1" thickBot="1" x14ac:dyDescent="0.35"/>
    <row r="3" spans="1:13" s="3" customFormat="1" ht="16.5" customHeight="1" x14ac:dyDescent="0.3">
      <c r="A3" s="2"/>
      <c r="B3" s="320" t="s">
        <v>0</v>
      </c>
      <c r="C3" s="321"/>
      <c r="D3" s="321"/>
      <c r="E3" s="321"/>
      <c r="F3" s="321"/>
      <c r="G3" s="321"/>
      <c r="H3" s="321"/>
      <c r="I3" s="322"/>
      <c r="J3" s="313" t="s">
        <v>1</v>
      </c>
      <c r="K3" s="314"/>
      <c r="L3" s="315">
        <v>46156</v>
      </c>
      <c r="M3" s="316"/>
    </row>
    <row r="4" spans="1:13" s="3" customFormat="1" ht="17.25" customHeight="1" thickBot="1" x14ac:dyDescent="0.35">
      <c r="A4" s="2"/>
      <c r="B4" s="323"/>
      <c r="C4" s="324"/>
      <c r="D4" s="324"/>
      <c r="E4" s="324"/>
      <c r="F4" s="324"/>
      <c r="G4" s="324"/>
      <c r="H4" s="324"/>
      <c r="I4" s="325"/>
      <c r="J4" s="317" t="s">
        <v>2</v>
      </c>
      <c r="K4" s="318"/>
      <c r="L4" s="318" t="s">
        <v>3</v>
      </c>
      <c r="M4" s="319"/>
    </row>
    <row r="5" spans="1:13" ht="18" customHeight="1" thickBot="1" x14ac:dyDescent="0.35"/>
    <row r="6" spans="1:13" ht="21" customHeight="1" x14ac:dyDescent="0.3">
      <c r="B6" s="326" t="s">
        <v>4</v>
      </c>
      <c r="C6" s="327"/>
      <c r="D6" s="327"/>
      <c r="E6" s="327"/>
      <c r="F6" s="327"/>
      <c r="G6" s="327"/>
      <c r="H6" s="327"/>
      <c r="I6" s="327"/>
      <c r="J6" s="327"/>
      <c r="K6" s="327"/>
      <c r="L6" s="327"/>
      <c r="M6" s="328"/>
    </row>
    <row r="7" spans="1:13" ht="18" customHeight="1" x14ac:dyDescent="0.3"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10"/>
    </row>
    <row r="8" spans="1:13" ht="18" customHeight="1" x14ac:dyDescent="0.3">
      <c r="B8" s="8" t="s">
        <v>5</v>
      </c>
      <c r="C8" s="9"/>
      <c r="D8" s="9"/>
      <c r="E8" s="9"/>
      <c r="F8" s="9"/>
      <c r="G8" s="9"/>
      <c r="H8" s="9"/>
      <c r="I8" s="9"/>
      <c r="J8" s="9"/>
      <c r="K8" s="9"/>
      <c r="L8" s="9"/>
      <c r="M8" s="10"/>
    </row>
    <row r="9" spans="1:13" ht="18" customHeight="1" thickBot="1" x14ac:dyDescent="0.35">
      <c r="B9" s="11"/>
      <c r="C9" s="12"/>
      <c r="D9" s="12"/>
      <c r="E9" s="12"/>
      <c r="F9" s="12"/>
      <c r="G9" s="12"/>
      <c r="H9" s="12"/>
      <c r="I9" s="12"/>
      <c r="J9" s="13"/>
      <c r="K9" s="13"/>
      <c r="L9" s="12"/>
      <c r="M9" s="14"/>
    </row>
    <row r="11" spans="1:13" ht="13.5" hidden="1" x14ac:dyDescent="0.3">
      <c r="B11" s="329" t="s">
        <v>6</v>
      </c>
      <c r="C11" s="330"/>
      <c r="D11" s="330"/>
      <c r="E11" s="330"/>
      <c r="F11" s="330"/>
      <c r="G11" s="330"/>
      <c r="H11" s="330"/>
      <c r="I11" s="330"/>
      <c r="J11" s="330"/>
      <c r="K11" s="330"/>
      <c r="L11" s="330"/>
      <c r="M11" s="331"/>
    </row>
    <row r="12" spans="1:13" ht="13.5" hidden="1" x14ac:dyDescent="0.3">
      <c r="B12" s="4" t="s">
        <v>7</v>
      </c>
      <c r="C12" s="132" t="s">
        <v>8</v>
      </c>
      <c r="D12" s="132" t="s">
        <v>2</v>
      </c>
      <c r="E12" s="132" t="s">
        <v>9</v>
      </c>
      <c r="F12" s="332" t="s">
        <v>10</v>
      </c>
      <c r="G12" s="332"/>
      <c r="H12" s="332"/>
      <c r="I12" s="332"/>
      <c r="J12" s="332"/>
      <c r="K12" s="332"/>
      <c r="L12" s="332"/>
      <c r="M12" s="333"/>
    </row>
    <row r="13" spans="1:13" ht="13.5" hidden="1" x14ac:dyDescent="0.3">
      <c r="B13" s="5" t="s">
        <v>11</v>
      </c>
      <c r="C13" s="6">
        <v>43734</v>
      </c>
      <c r="D13" s="7" t="s">
        <v>12</v>
      </c>
      <c r="E13" s="7" t="s">
        <v>12</v>
      </c>
      <c r="F13" s="303" t="s">
        <v>13</v>
      </c>
      <c r="G13" s="303"/>
      <c r="H13" s="303"/>
      <c r="I13" s="303"/>
      <c r="J13" s="303"/>
      <c r="K13" s="303"/>
      <c r="L13" s="303"/>
      <c r="M13" s="304"/>
    </row>
    <row r="14" spans="1:13" ht="13.5" hidden="1" x14ac:dyDescent="0.3">
      <c r="B14" s="5" t="s">
        <v>14</v>
      </c>
      <c r="C14" s="6">
        <v>43735</v>
      </c>
      <c r="D14" s="7" t="s">
        <v>15</v>
      </c>
      <c r="E14" s="7" t="s">
        <v>12</v>
      </c>
      <c r="F14" s="303" t="s">
        <v>16</v>
      </c>
      <c r="G14" s="303"/>
      <c r="H14" s="303"/>
      <c r="I14" s="303"/>
      <c r="J14" s="303"/>
      <c r="K14" s="303"/>
      <c r="L14" s="303"/>
      <c r="M14" s="304"/>
    </row>
    <row r="15" spans="1:13" ht="13.5" hidden="1" x14ac:dyDescent="0.3">
      <c r="B15" s="5" t="s">
        <v>17</v>
      </c>
      <c r="C15" s="6">
        <v>43735</v>
      </c>
      <c r="D15" s="7" t="s">
        <v>18</v>
      </c>
      <c r="E15" s="7" t="s">
        <v>12</v>
      </c>
      <c r="F15" s="303" t="s">
        <v>19</v>
      </c>
      <c r="G15" s="303"/>
      <c r="H15" s="303"/>
      <c r="I15" s="303"/>
      <c r="J15" s="303"/>
      <c r="K15" s="303"/>
      <c r="L15" s="303"/>
      <c r="M15" s="304"/>
    </row>
    <row r="16" spans="1:13" ht="13.5" hidden="1" x14ac:dyDescent="0.3">
      <c r="B16" s="5" t="s">
        <v>20</v>
      </c>
      <c r="C16" s="6">
        <v>43735</v>
      </c>
      <c r="D16" s="7" t="s">
        <v>21</v>
      </c>
      <c r="E16" s="7" t="s">
        <v>12</v>
      </c>
      <c r="F16" s="303" t="s">
        <v>22</v>
      </c>
      <c r="G16" s="303"/>
      <c r="H16" s="303"/>
      <c r="I16" s="303"/>
      <c r="J16" s="303"/>
      <c r="K16" s="303"/>
      <c r="L16" s="303"/>
      <c r="M16" s="304"/>
    </row>
    <row r="17" spans="2:13" ht="13.5" hidden="1" x14ac:dyDescent="0.3">
      <c r="B17" s="5" t="s">
        <v>23</v>
      </c>
      <c r="C17" s="6">
        <v>43735</v>
      </c>
      <c r="D17" s="7" t="s">
        <v>24</v>
      </c>
      <c r="E17" s="7" t="s">
        <v>12</v>
      </c>
      <c r="F17" s="303" t="s">
        <v>25</v>
      </c>
      <c r="G17" s="303"/>
      <c r="H17" s="303"/>
      <c r="I17" s="303"/>
      <c r="J17" s="303"/>
      <c r="K17" s="303"/>
      <c r="L17" s="303"/>
      <c r="M17" s="304"/>
    </row>
    <row r="18" spans="2:13" ht="13.5" hidden="1" x14ac:dyDescent="0.3">
      <c r="B18" s="5" t="s">
        <v>26</v>
      </c>
      <c r="C18" s="6">
        <v>43738</v>
      </c>
      <c r="D18" s="7" t="s">
        <v>15</v>
      </c>
      <c r="E18" s="7" t="s">
        <v>12</v>
      </c>
      <c r="F18" s="303" t="s">
        <v>27</v>
      </c>
      <c r="G18" s="303"/>
      <c r="H18" s="303"/>
      <c r="I18" s="303"/>
      <c r="J18" s="303"/>
      <c r="K18" s="303"/>
      <c r="L18" s="303"/>
      <c r="M18" s="304"/>
    </row>
    <row r="19" spans="2:13" ht="13.5" hidden="1" x14ac:dyDescent="0.3">
      <c r="B19" s="5" t="s">
        <v>28</v>
      </c>
      <c r="C19" s="6">
        <v>43739</v>
      </c>
      <c r="D19" s="7" t="s">
        <v>12</v>
      </c>
      <c r="E19" s="7" t="s">
        <v>12</v>
      </c>
      <c r="F19" s="303" t="s">
        <v>29</v>
      </c>
      <c r="G19" s="303"/>
      <c r="H19" s="303"/>
      <c r="I19" s="303"/>
      <c r="J19" s="303"/>
      <c r="K19" s="303"/>
      <c r="L19" s="303"/>
      <c r="M19" s="304"/>
    </row>
    <row r="20" spans="2:13" ht="13.5" hidden="1" x14ac:dyDescent="0.3">
      <c r="B20" s="5" t="s">
        <v>30</v>
      </c>
      <c r="C20" s="6">
        <v>43767</v>
      </c>
      <c r="D20" s="7" t="s">
        <v>15</v>
      </c>
      <c r="E20" s="7" t="s">
        <v>12</v>
      </c>
      <c r="F20" s="303" t="s">
        <v>31</v>
      </c>
      <c r="G20" s="303"/>
      <c r="H20" s="303"/>
      <c r="I20" s="303"/>
      <c r="J20" s="303"/>
      <c r="K20" s="303"/>
      <c r="L20" s="303"/>
      <c r="M20" s="304"/>
    </row>
    <row r="21" spans="2:13" ht="13.5" hidden="1" x14ac:dyDescent="0.3">
      <c r="B21" s="5" t="s">
        <v>32</v>
      </c>
      <c r="C21" s="6">
        <v>43776</v>
      </c>
      <c r="D21" s="7" t="s">
        <v>15</v>
      </c>
      <c r="E21" s="7" t="s">
        <v>12</v>
      </c>
      <c r="F21" s="303" t="s">
        <v>33</v>
      </c>
      <c r="G21" s="303"/>
      <c r="H21" s="303"/>
      <c r="I21" s="303"/>
      <c r="J21" s="303"/>
      <c r="K21" s="303"/>
      <c r="L21" s="303"/>
      <c r="M21" s="304"/>
    </row>
    <row r="22" spans="2:13" ht="13.5" hidden="1" x14ac:dyDescent="0.3">
      <c r="B22" s="5" t="s">
        <v>34</v>
      </c>
      <c r="C22" s="6">
        <v>43782</v>
      </c>
      <c r="D22" s="7" t="s">
        <v>15</v>
      </c>
      <c r="E22" s="7" t="s">
        <v>12</v>
      </c>
      <c r="F22" s="303" t="s">
        <v>35</v>
      </c>
      <c r="G22" s="303"/>
      <c r="H22" s="303"/>
      <c r="I22" s="303"/>
      <c r="J22" s="303"/>
      <c r="K22" s="303"/>
      <c r="L22" s="303"/>
      <c r="M22" s="304"/>
    </row>
    <row r="23" spans="2:13" ht="13.5" hidden="1" x14ac:dyDescent="0.3">
      <c r="B23" s="5" t="s">
        <v>36</v>
      </c>
      <c r="C23" s="6">
        <v>43787</v>
      </c>
      <c r="D23" s="7" t="s">
        <v>15</v>
      </c>
      <c r="E23" s="7" t="s">
        <v>12</v>
      </c>
      <c r="F23" s="303" t="s">
        <v>37</v>
      </c>
      <c r="G23" s="303"/>
      <c r="H23" s="303"/>
      <c r="I23" s="303"/>
      <c r="J23" s="303"/>
      <c r="K23" s="303"/>
      <c r="L23" s="303"/>
      <c r="M23" s="304"/>
    </row>
    <row r="24" spans="2:13" ht="13.5" hidden="1" x14ac:dyDescent="0.3">
      <c r="B24" s="5" t="s">
        <v>38</v>
      </c>
      <c r="C24" s="6">
        <v>43864</v>
      </c>
      <c r="D24" s="7" t="s">
        <v>24</v>
      </c>
      <c r="E24" s="7" t="s">
        <v>12</v>
      </c>
      <c r="F24" s="303" t="s">
        <v>39</v>
      </c>
      <c r="G24" s="303"/>
      <c r="H24" s="303"/>
      <c r="I24" s="303"/>
      <c r="J24" s="303"/>
      <c r="K24" s="303"/>
      <c r="L24" s="303"/>
      <c r="M24" s="304"/>
    </row>
    <row r="25" spans="2:13" ht="13.5" hidden="1" x14ac:dyDescent="0.3">
      <c r="B25" s="5" t="s">
        <v>40</v>
      </c>
      <c r="C25" s="6">
        <v>43880</v>
      </c>
      <c r="D25" s="7" t="s">
        <v>12</v>
      </c>
      <c r="E25" s="7" t="s">
        <v>12</v>
      </c>
      <c r="F25" s="303" t="s">
        <v>41</v>
      </c>
      <c r="G25" s="303"/>
      <c r="H25" s="303"/>
      <c r="I25" s="303"/>
      <c r="J25" s="303"/>
      <c r="K25" s="303"/>
      <c r="L25" s="303"/>
      <c r="M25" s="304"/>
    </row>
    <row r="26" spans="2:13" ht="13.5" hidden="1" x14ac:dyDescent="0.3">
      <c r="B26" s="5" t="s">
        <v>42</v>
      </c>
      <c r="C26" s="6">
        <v>43907</v>
      </c>
      <c r="D26" s="7" t="s">
        <v>43</v>
      </c>
      <c r="E26" s="7" t="s">
        <v>12</v>
      </c>
      <c r="F26" s="303" t="s">
        <v>44</v>
      </c>
      <c r="G26" s="303"/>
      <c r="H26" s="303"/>
      <c r="I26" s="303"/>
      <c r="J26" s="303"/>
      <c r="K26" s="303"/>
      <c r="L26" s="303"/>
      <c r="M26" s="304"/>
    </row>
    <row r="27" spans="2:13" ht="13.5" hidden="1" x14ac:dyDescent="0.3">
      <c r="B27" s="5" t="s">
        <v>45</v>
      </c>
      <c r="C27" s="6">
        <v>43908</v>
      </c>
      <c r="D27" s="7" t="s">
        <v>12</v>
      </c>
      <c r="E27" s="7" t="s">
        <v>12</v>
      </c>
      <c r="F27" s="303" t="s">
        <v>46</v>
      </c>
      <c r="G27" s="303"/>
      <c r="H27" s="303"/>
      <c r="I27" s="303"/>
      <c r="J27" s="303"/>
      <c r="K27" s="303"/>
      <c r="L27" s="303"/>
      <c r="M27" s="304"/>
    </row>
    <row r="28" spans="2:13" ht="13.5" hidden="1" x14ac:dyDescent="0.3">
      <c r="B28" s="5" t="s">
        <v>47</v>
      </c>
      <c r="C28" s="6">
        <v>43908</v>
      </c>
      <c r="D28" s="7" t="s">
        <v>18</v>
      </c>
      <c r="E28" s="7" t="s">
        <v>12</v>
      </c>
      <c r="F28" s="303" t="s">
        <v>48</v>
      </c>
      <c r="G28" s="303"/>
      <c r="H28" s="303"/>
      <c r="I28" s="303"/>
      <c r="J28" s="303"/>
      <c r="K28" s="303"/>
      <c r="L28" s="303"/>
      <c r="M28" s="304"/>
    </row>
    <row r="29" spans="2:13" ht="13.5" hidden="1" x14ac:dyDescent="0.3">
      <c r="B29" s="5" t="s">
        <v>49</v>
      </c>
      <c r="C29" s="6">
        <v>43916</v>
      </c>
      <c r="D29" s="7" t="s">
        <v>24</v>
      </c>
      <c r="E29" s="7" t="s">
        <v>12</v>
      </c>
      <c r="F29" s="303" t="s">
        <v>50</v>
      </c>
      <c r="G29" s="303"/>
      <c r="H29" s="303"/>
      <c r="I29" s="303"/>
      <c r="J29" s="303"/>
      <c r="K29" s="303"/>
      <c r="L29" s="303"/>
      <c r="M29" s="304"/>
    </row>
    <row r="30" spans="2:13" ht="13.5" hidden="1" x14ac:dyDescent="0.3">
      <c r="B30" s="5" t="s">
        <v>51</v>
      </c>
      <c r="C30" s="6">
        <v>43920</v>
      </c>
      <c r="D30" s="7" t="s">
        <v>15</v>
      </c>
      <c r="E30" s="7" t="s">
        <v>12</v>
      </c>
      <c r="F30" s="303" t="s">
        <v>52</v>
      </c>
      <c r="G30" s="303"/>
      <c r="H30" s="303"/>
      <c r="I30" s="303"/>
      <c r="J30" s="303"/>
      <c r="K30" s="303"/>
      <c r="L30" s="303"/>
      <c r="M30" s="304"/>
    </row>
    <row r="31" spans="2:13" ht="13.5" hidden="1" x14ac:dyDescent="0.3">
      <c r="B31" s="5" t="s">
        <v>53</v>
      </c>
      <c r="C31" s="6">
        <v>44027</v>
      </c>
      <c r="D31" s="7" t="s">
        <v>12</v>
      </c>
      <c r="E31" s="7" t="s">
        <v>12</v>
      </c>
      <c r="F31" s="303" t="s">
        <v>54</v>
      </c>
      <c r="G31" s="303"/>
      <c r="H31" s="303"/>
      <c r="I31" s="303"/>
      <c r="J31" s="303"/>
      <c r="K31" s="303"/>
      <c r="L31" s="303"/>
      <c r="M31" s="304"/>
    </row>
    <row r="32" spans="2:13" ht="13.5" hidden="1" x14ac:dyDescent="0.3">
      <c r="B32" s="5" t="s">
        <v>55</v>
      </c>
      <c r="C32" s="6">
        <v>44027</v>
      </c>
      <c r="D32" s="7" t="s">
        <v>56</v>
      </c>
      <c r="E32" s="7" t="s">
        <v>12</v>
      </c>
      <c r="F32" s="303" t="s">
        <v>57</v>
      </c>
      <c r="G32" s="303"/>
      <c r="H32" s="303"/>
      <c r="I32" s="303"/>
      <c r="J32" s="303"/>
      <c r="K32" s="303"/>
      <c r="L32" s="303"/>
      <c r="M32" s="304"/>
    </row>
    <row r="33" spans="2:13" ht="13.5" hidden="1" x14ac:dyDescent="0.3">
      <c r="B33" s="5" t="s">
        <v>58</v>
      </c>
      <c r="C33" s="6">
        <v>44032</v>
      </c>
      <c r="D33" s="7" t="s">
        <v>12</v>
      </c>
      <c r="E33" s="7" t="s">
        <v>12</v>
      </c>
      <c r="F33" s="303" t="s">
        <v>59</v>
      </c>
      <c r="G33" s="303"/>
      <c r="H33" s="303"/>
      <c r="I33" s="303"/>
      <c r="J33" s="303"/>
      <c r="K33" s="303"/>
      <c r="L33" s="303"/>
      <c r="M33" s="304"/>
    </row>
    <row r="34" spans="2:13" ht="13.5" hidden="1" x14ac:dyDescent="0.3">
      <c r="B34" s="5" t="s">
        <v>60</v>
      </c>
      <c r="C34" s="6">
        <v>44033</v>
      </c>
      <c r="D34" s="7" t="s">
        <v>56</v>
      </c>
      <c r="E34" s="7" t="s">
        <v>12</v>
      </c>
      <c r="F34" s="303" t="s">
        <v>61</v>
      </c>
      <c r="G34" s="303"/>
      <c r="H34" s="303"/>
      <c r="I34" s="303"/>
      <c r="J34" s="303"/>
      <c r="K34" s="303"/>
      <c r="L34" s="303"/>
      <c r="M34" s="304"/>
    </row>
    <row r="35" spans="2:13" ht="13.5" hidden="1" x14ac:dyDescent="0.3">
      <c r="B35" s="5" t="s">
        <v>62</v>
      </c>
      <c r="C35" s="6">
        <v>44049</v>
      </c>
      <c r="D35" s="7" t="s">
        <v>24</v>
      </c>
      <c r="E35" s="7" t="s">
        <v>12</v>
      </c>
      <c r="F35" s="303" t="s">
        <v>63</v>
      </c>
      <c r="G35" s="303"/>
      <c r="H35" s="303"/>
      <c r="I35" s="303"/>
      <c r="J35" s="303"/>
      <c r="K35" s="303"/>
      <c r="L35" s="303"/>
      <c r="M35" s="304"/>
    </row>
    <row r="36" spans="2:13" ht="13.5" hidden="1" x14ac:dyDescent="0.3">
      <c r="B36" s="5" t="s">
        <v>64</v>
      </c>
      <c r="C36" s="6">
        <v>44049</v>
      </c>
      <c r="D36" s="7" t="s">
        <v>21</v>
      </c>
      <c r="E36" s="7" t="s">
        <v>12</v>
      </c>
      <c r="F36" s="303" t="s">
        <v>65</v>
      </c>
      <c r="G36" s="303"/>
      <c r="H36" s="303"/>
      <c r="I36" s="303"/>
      <c r="J36" s="303"/>
      <c r="K36" s="303"/>
      <c r="L36" s="303"/>
      <c r="M36" s="304"/>
    </row>
    <row r="37" spans="2:13" ht="13.5" hidden="1" x14ac:dyDescent="0.3">
      <c r="B37" s="5" t="s">
        <v>66</v>
      </c>
      <c r="C37" s="6">
        <v>44064</v>
      </c>
      <c r="D37" s="7" t="s">
        <v>24</v>
      </c>
      <c r="E37" s="7" t="s">
        <v>12</v>
      </c>
      <c r="F37" s="303" t="s">
        <v>67</v>
      </c>
      <c r="G37" s="303"/>
      <c r="H37" s="303"/>
      <c r="I37" s="303"/>
      <c r="J37" s="303"/>
      <c r="K37" s="303"/>
      <c r="L37" s="303"/>
      <c r="M37" s="304"/>
    </row>
    <row r="38" spans="2:13" ht="13.5" hidden="1" x14ac:dyDescent="0.3">
      <c r="B38" s="5" t="s">
        <v>68</v>
      </c>
      <c r="C38" s="6">
        <v>44067</v>
      </c>
      <c r="D38" s="7" t="s">
        <v>21</v>
      </c>
      <c r="E38" s="7" t="s">
        <v>12</v>
      </c>
      <c r="F38" s="303" t="s">
        <v>69</v>
      </c>
      <c r="G38" s="303"/>
      <c r="H38" s="303"/>
      <c r="I38" s="303"/>
      <c r="J38" s="303"/>
      <c r="K38" s="303"/>
      <c r="L38" s="303"/>
      <c r="M38" s="304"/>
    </row>
    <row r="39" spans="2:13" ht="13.5" hidden="1" x14ac:dyDescent="0.3">
      <c r="B39" s="5" t="s">
        <v>70</v>
      </c>
      <c r="C39" s="6">
        <v>44102</v>
      </c>
      <c r="D39" s="7" t="s">
        <v>21</v>
      </c>
      <c r="E39" s="7" t="s">
        <v>12</v>
      </c>
      <c r="F39" s="303" t="s">
        <v>71</v>
      </c>
      <c r="G39" s="303"/>
      <c r="H39" s="303"/>
      <c r="I39" s="303"/>
      <c r="J39" s="303"/>
      <c r="K39" s="303"/>
      <c r="L39" s="303"/>
      <c r="M39" s="304"/>
    </row>
    <row r="40" spans="2:13" ht="13.5" hidden="1" x14ac:dyDescent="0.3">
      <c r="B40" s="5" t="s">
        <v>72</v>
      </c>
      <c r="C40" s="6">
        <v>44127</v>
      </c>
      <c r="D40" s="7" t="s">
        <v>24</v>
      </c>
      <c r="E40" s="7" t="s">
        <v>12</v>
      </c>
      <c r="F40" s="303" t="s">
        <v>73</v>
      </c>
      <c r="G40" s="303"/>
      <c r="H40" s="303"/>
      <c r="I40" s="303"/>
      <c r="J40" s="303"/>
      <c r="K40" s="303"/>
      <c r="L40" s="303"/>
      <c r="M40" s="304"/>
    </row>
    <row r="41" spans="2:13" ht="13.5" hidden="1" x14ac:dyDescent="0.3">
      <c r="B41" s="5" t="s">
        <v>74</v>
      </c>
      <c r="C41" s="6">
        <v>44144</v>
      </c>
      <c r="D41" s="7" t="s">
        <v>15</v>
      </c>
      <c r="E41" s="7" t="s">
        <v>12</v>
      </c>
      <c r="F41" s="303" t="s">
        <v>75</v>
      </c>
      <c r="G41" s="303"/>
      <c r="H41" s="303"/>
      <c r="I41" s="303"/>
      <c r="J41" s="303"/>
      <c r="K41" s="303"/>
      <c r="L41" s="303"/>
      <c r="M41" s="304"/>
    </row>
    <row r="42" spans="2:13" ht="13.5" hidden="1" x14ac:dyDescent="0.3">
      <c r="B42" s="5" t="s">
        <v>76</v>
      </c>
      <c r="C42" s="6">
        <v>44155</v>
      </c>
      <c r="D42" s="7" t="s">
        <v>24</v>
      </c>
      <c r="E42" s="7" t="s">
        <v>12</v>
      </c>
      <c r="F42" s="303" t="s">
        <v>77</v>
      </c>
      <c r="G42" s="303"/>
      <c r="H42" s="303"/>
      <c r="I42" s="303"/>
      <c r="J42" s="303"/>
      <c r="K42" s="303"/>
      <c r="L42" s="303"/>
      <c r="M42" s="304"/>
    </row>
    <row r="43" spans="2:13" ht="13.5" hidden="1" x14ac:dyDescent="0.3">
      <c r="B43" s="5" t="s">
        <v>78</v>
      </c>
      <c r="C43" s="6">
        <v>44180</v>
      </c>
      <c r="D43" s="7" t="s">
        <v>24</v>
      </c>
      <c r="E43" s="7" t="s">
        <v>12</v>
      </c>
      <c r="F43" s="303" t="s">
        <v>79</v>
      </c>
      <c r="G43" s="303"/>
      <c r="H43" s="303"/>
      <c r="I43" s="303"/>
      <c r="J43" s="303"/>
      <c r="K43" s="303"/>
      <c r="L43" s="303"/>
      <c r="M43" s="304"/>
    </row>
    <row r="44" spans="2:13" ht="13.5" hidden="1" x14ac:dyDescent="0.3">
      <c r="B44" s="5" t="s">
        <v>80</v>
      </c>
      <c r="C44" s="6">
        <v>44196</v>
      </c>
      <c r="D44" s="7" t="s">
        <v>24</v>
      </c>
      <c r="E44" s="7" t="s">
        <v>12</v>
      </c>
      <c r="F44" s="303" t="s">
        <v>81</v>
      </c>
      <c r="G44" s="303"/>
      <c r="H44" s="303"/>
      <c r="I44" s="303"/>
      <c r="J44" s="303"/>
      <c r="K44" s="303"/>
      <c r="L44" s="303"/>
      <c r="M44" s="304"/>
    </row>
    <row r="45" spans="2:13" ht="13.5" hidden="1" x14ac:dyDescent="0.3">
      <c r="B45" s="5" t="s">
        <v>82</v>
      </c>
      <c r="C45" s="6">
        <v>44210</v>
      </c>
      <c r="D45" s="7" t="s">
        <v>18</v>
      </c>
      <c r="E45" s="7" t="s">
        <v>12</v>
      </c>
      <c r="F45" s="303" t="s">
        <v>83</v>
      </c>
      <c r="G45" s="303"/>
      <c r="H45" s="303"/>
      <c r="I45" s="303"/>
      <c r="J45" s="303"/>
      <c r="K45" s="303"/>
      <c r="L45" s="303"/>
      <c r="M45" s="304"/>
    </row>
    <row r="46" spans="2:13" ht="13.5" hidden="1" x14ac:dyDescent="0.3">
      <c r="B46" s="5" t="s">
        <v>84</v>
      </c>
      <c r="C46" s="6">
        <v>44258</v>
      </c>
      <c r="D46" s="7" t="s">
        <v>12</v>
      </c>
      <c r="E46" s="7" t="s">
        <v>12</v>
      </c>
      <c r="F46" s="303" t="s">
        <v>85</v>
      </c>
      <c r="G46" s="303"/>
      <c r="H46" s="303"/>
      <c r="I46" s="303"/>
      <c r="J46" s="303"/>
      <c r="K46" s="303"/>
      <c r="L46" s="303"/>
      <c r="M46" s="304"/>
    </row>
    <row r="47" spans="2:13" ht="18" hidden="1" customHeight="1" x14ac:dyDescent="0.3">
      <c r="B47" s="5" t="s">
        <v>86</v>
      </c>
      <c r="C47" s="6">
        <v>44264</v>
      </c>
      <c r="D47" s="7" t="s">
        <v>56</v>
      </c>
      <c r="E47" s="7" t="s">
        <v>12</v>
      </c>
      <c r="F47" s="303" t="s">
        <v>87</v>
      </c>
      <c r="G47" s="303"/>
      <c r="H47" s="303"/>
      <c r="I47" s="303"/>
      <c r="J47" s="303"/>
      <c r="K47" s="303"/>
      <c r="L47" s="303"/>
      <c r="M47" s="304"/>
    </row>
    <row r="48" spans="2:13" ht="18" hidden="1" customHeight="1" x14ac:dyDescent="0.3">
      <c r="B48" s="5" t="s">
        <v>88</v>
      </c>
      <c r="C48" s="6">
        <v>44274</v>
      </c>
      <c r="D48" s="7" t="s">
        <v>24</v>
      </c>
      <c r="E48" s="7" t="s">
        <v>12</v>
      </c>
      <c r="F48" s="303" t="s">
        <v>89</v>
      </c>
      <c r="G48" s="303"/>
      <c r="H48" s="303"/>
      <c r="I48" s="303"/>
      <c r="J48" s="303"/>
      <c r="K48" s="303"/>
      <c r="L48" s="303"/>
      <c r="M48" s="304"/>
    </row>
    <row r="49" spans="2:13" ht="18" hidden="1" customHeight="1" x14ac:dyDescent="0.3">
      <c r="B49" s="5" t="s">
        <v>90</v>
      </c>
      <c r="C49" s="6">
        <v>44281</v>
      </c>
      <c r="D49" s="7" t="s">
        <v>21</v>
      </c>
      <c r="E49" s="7" t="s">
        <v>12</v>
      </c>
      <c r="F49" s="303" t="s">
        <v>91</v>
      </c>
      <c r="G49" s="303"/>
      <c r="H49" s="303"/>
      <c r="I49" s="303"/>
      <c r="J49" s="303"/>
      <c r="K49" s="303"/>
      <c r="L49" s="303"/>
      <c r="M49" s="304"/>
    </row>
    <row r="50" spans="2:13" ht="18" hidden="1" customHeight="1" x14ac:dyDescent="0.3">
      <c r="B50" s="5" t="s">
        <v>92</v>
      </c>
      <c r="C50" s="6">
        <v>44288</v>
      </c>
      <c r="D50" s="7" t="s">
        <v>56</v>
      </c>
      <c r="E50" s="7" t="s">
        <v>12</v>
      </c>
      <c r="F50" s="303" t="s">
        <v>93</v>
      </c>
      <c r="G50" s="303"/>
      <c r="H50" s="303"/>
      <c r="I50" s="303"/>
      <c r="J50" s="303"/>
      <c r="K50" s="303"/>
      <c r="L50" s="303"/>
      <c r="M50" s="304"/>
    </row>
    <row r="51" spans="2:13" ht="18" hidden="1" customHeight="1" x14ac:dyDescent="0.3">
      <c r="B51" s="133" t="s">
        <v>94</v>
      </c>
      <c r="C51" s="134">
        <v>44293</v>
      </c>
      <c r="D51" s="135" t="s">
        <v>12</v>
      </c>
      <c r="E51" s="135" t="s">
        <v>12</v>
      </c>
      <c r="F51" s="305" t="s">
        <v>95</v>
      </c>
      <c r="G51" s="305"/>
      <c r="H51" s="305"/>
      <c r="I51" s="305"/>
      <c r="J51" s="305"/>
      <c r="K51" s="305"/>
      <c r="L51" s="305"/>
      <c r="M51" s="306"/>
    </row>
    <row r="52" spans="2:13" ht="18" hidden="1" customHeight="1" x14ac:dyDescent="0.3">
      <c r="B52" s="5" t="s">
        <v>96</v>
      </c>
      <c r="C52" s="6">
        <v>44322</v>
      </c>
      <c r="D52" s="7" t="s">
        <v>21</v>
      </c>
      <c r="E52" s="7" t="s">
        <v>12</v>
      </c>
      <c r="F52" s="303" t="s">
        <v>97</v>
      </c>
      <c r="G52" s="303"/>
      <c r="H52" s="303"/>
      <c r="I52" s="303"/>
      <c r="J52" s="303"/>
      <c r="K52" s="303"/>
      <c r="L52" s="303"/>
      <c r="M52" s="304"/>
    </row>
    <row r="53" spans="2:13" ht="18" hidden="1" customHeight="1" x14ac:dyDescent="0.3">
      <c r="B53" s="5" t="s">
        <v>98</v>
      </c>
      <c r="C53" s="6">
        <v>44342</v>
      </c>
      <c r="D53" s="7" t="s">
        <v>18</v>
      </c>
      <c r="E53" s="7" t="s">
        <v>12</v>
      </c>
      <c r="F53" s="303" t="s">
        <v>99</v>
      </c>
      <c r="G53" s="303"/>
      <c r="H53" s="303"/>
      <c r="I53" s="303"/>
      <c r="J53" s="303"/>
      <c r="K53" s="303"/>
      <c r="L53" s="303"/>
      <c r="M53" s="304"/>
    </row>
    <row r="54" spans="2:13" ht="18" hidden="1" customHeight="1" x14ac:dyDescent="0.3">
      <c r="B54" s="133" t="s">
        <v>100</v>
      </c>
      <c r="C54" s="134">
        <v>44367</v>
      </c>
      <c r="D54" s="135" t="s">
        <v>43</v>
      </c>
      <c r="E54" s="135" t="s">
        <v>12</v>
      </c>
      <c r="F54" s="305" t="s">
        <v>101</v>
      </c>
      <c r="G54" s="305"/>
      <c r="H54" s="305"/>
      <c r="I54" s="305"/>
      <c r="J54" s="305"/>
      <c r="K54" s="305"/>
      <c r="L54" s="305"/>
      <c r="M54" s="306"/>
    </row>
    <row r="55" spans="2:13" ht="35.25" hidden="1" customHeight="1" x14ac:dyDescent="0.3">
      <c r="B55" s="133" t="s">
        <v>102</v>
      </c>
      <c r="C55" s="134">
        <v>44349</v>
      </c>
      <c r="D55" s="135" t="s">
        <v>15</v>
      </c>
      <c r="E55" s="135" t="s">
        <v>12</v>
      </c>
      <c r="F55" s="305" t="s">
        <v>103</v>
      </c>
      <c r="G55" s="305"/>
      <c r="H55" s="305"/>
      <c r="I55" s="305"/>
      <c r="J55" s="305"/>
      <c r="K55" s="305"/>
      <c r="L55" s="305"/>
      <c r="M55" s="306"/>
    </row>
    <row r="56" spans="2:13" ht="18" hidden="1" customHeight="1" x14ac:dyDescent="0.3">
      <c r="B56" s="5" t="s">
        <v>104</v>
      </c>
      <c r="C56" s="6">
        <v>44377</v>
      </c>
      <c r="D56" s="7" t="s">
        <v>12</v>
      </c>
      <c r="E56" s="7"/>
      <c r="F56" s="303" t="s">
        <v>105</v>
      </c>
      <c r="G56" s="303"/>
      <c r="H56" s="303"/>
      <c r="I56" s="303"/>
      <c r="J56" s="303"/>
      <c r="K56" s="303"/>
      <c r="L56" s="303"/>
      <c r="M56" s="304"/>
    </row>
    <row r="57" spans="2:13" ht="18" hidden="1" customHeight="1" x14ac:dyDescent="0.3">
      <c r="B57" s="5" t="s">
        <v>106</v>
      </c>
      <c r="C57" s="6">
        <v>44403</v>
      </c>
      <c r="D57" s="7" t="s">
        <v>24</v>
      </c>
      <c r="E57" s="7"/>
      <c r="F57" s="303" t="s">
        <v>107</v>
      </c>
      <c r="G57" s="303"/>
      <c r="H57" s="303"/>
      <c r="I57" s="303"/>
      <c r="J57" s="303"/>
      <c r="K57" s="303"/>
      <c r="L57" s="303"/>
      <c r="M57" s="304"/>
    </row>
    <row r="58" spans="2:13" ht="18" hidden="1" customHeight="1" x14ac:dyDescent="0.3">
      <c r="B58" s="5" t="s">
        <v>108</v>
      </c>
      <c r="C58" s="6">
        <v>44417</v>
      </c>
      <c r="D58" s="7" t="s">
        <v>21</v>
      </c>
      <c r="E58" s="7"/>
      <c r="F58" s="303" t="s">
        <v>109</v>
      </c>
      <c r="G58" s="303"/>
      <c r="H58" s="303"/>
      <c r="I58" s="303"/>
      <c r="J58" s="303"/>
      <c r="K58" s="303"/>
      <c r="L58" s="303"/>
      <c r="M58" s="304"/>
    </row>
    <row r="59" spans="2:13" ht="18" hidden="1" customHeight="1" x14ac:dyDescent="0.3">
      <c r="B59" s="5" t="s">
        <v>110</v>
      </c>
      <c r="C59" s="6">
        <v>44417</v>
      </c>
      <c r="D59" s="7" t="s">
        <v>24</v>
      </c>
      <c r="E59" s="7"/>
      <c r="F59" s="303" t="s">
        <v>111</v>
      </c>
      <c r="G59" s="303"/>
      <c r="H59" s="303"/>
      <c r="I59" s="303"/>
      <c r="J59" s="303"/>
      <c r="K59" s="303"/>
      <c r="L59" s="303"/>
      <c r="M59" s="304"/>
    </row>
    <row r="60" spans="2:13" ht="18" hidden="1" customHeight="1" x14ac:dyDescent="0.3">
      <c r="B60" s="5" t="s">
        <v>112</v>
      </c>
      <c r="C60" s="6">
        <v>44448</v>
      </c>
      <c r="D60" s="7" t="s">
        <v>24</v>
      </c>
      <c r="E60" s="7"/>
      <c r="F60" s="303" t="s">
        <v>113</v>
      </c>
      <c r="G60" s="303"/>
      <c r="H60" s="303"/>
      <c r="I60" s="303"/>
      <c r="J60" s="303"/>
      <c r="K60" s="303"/>
      <c r="L60" s="303"/>
      <c r="M60" s="304"/>
    </row>
    <row r="61" spans="2:13" ht="18" hidden="1" customHeight="1" x14ac:dyDescent="0.3">
      <c r="B61" s="5" t="s">
        <v>114</v>
      </c>
      <c r="C61" s="6">
        <v>44452</v>
      </c>
      <c r="D61" s="7" t="s">
        <v>24</v>
      </c>
      <c r="E61" s="7"/>
      <c r="F61" s="303" t="s">
        <v>115</v>
      </c>
      <c r="G61" s="303"/>
      <c r="H61" s="303"/>
      <c r="I61" s="303"/>
      <c r="J61" s="303"/>
      <c r="K61" s="303"/>
      <c r="L61" s="303"/>
      <c r="M61" s="304"/>
    </row>
    <row r="62" spans="2:13" ht="18" hidden="1" customHeight="1" x14ac:dyDescent="0.3">
      <c r="B62" s="5" t="s">
        <v>116</v>
      </c>
      <c r="C62" s="6">
        <v>44466</v>
      </c>
      <c r="D62" s="7" t="s">
        <v>21</v>
      </c>
      <c r="E62" s="7"/>
      <c r="F62" s="303" t="s">
        <v>117</v>
      </c>
      <c r="G62" s="303"/>
      <c r="H62" s="303"/>
      <c r="I62" s="303"/>
      <c r="J62" s="303"/>
      <c r="K62" s="303"/>
      <c r="L62" s="303"/>
      <c r="M62" s="304"/>
    </row>
    <row r="63" spans="2:13" ht="18" hidden="1" customHeight="1" x14ac:dyDescent="0.3">
      <c r="B63" s="5" t="s">
        <v>118</v>
      </c>
      <c r="C63" s="6">
        <v>44470</v>
      </c>
      <c r="D63" s="7" t="s">
        <v>21</v>
      </c>
      <c r="E63" s="7"/>
      <c r="F63" s="303" t="s">
        <v>119</v>
      </c>
      <c r="G63" s="303"/>
      <c r="H63" s="303"/>
      <c r="I63" s="303"/>
      <c r="J63" s="303"/>
      <c r="K63" s="303"/>
      <c r="L63" s="303"/>
      <c r="M63" s="304"/>
    </row>
    <row r="64" spans="2:13" ht="18" hidden="1" customHeight="1" x14ac:dyDescent="0.3">
      <c r="B64" s="5" t="s">
        <v>120</v>
      </c>
      <c r="C64" s="6">
        <v>44509</v>
      </c>
      <c r="D64" s="7" t="s">
        <v>24</v>
      </c>
      <c r="E64" s="7"/>
      <c r="F64" s="303" t="s">
        <v>121</v>
      </c>
      <c r="G64" s="303"/>
      <c r="H64" s="303"/>
      <c r="I64" s="303"/>
      <c r="J64" s="303"/>
      <c r="K64" s="303"/>
      <c r="L64" s="303"/>
      <c r="M64" s="304"/>
    </row>
    <row r="65" spans="2:13" ht="18" hidden="1" customHeight="1" x14ac:dyDescent="0.3">
      <c r="B65" s="5" t="s">
        <v>122</v>
      </c>
      <c r="C65" s="6">
        <v>44526</v>
      </c>
      <c r="D65" s="7" t="s">
        <v>123</v>
      </c>
      <c r="E65" s="7"/>
      <c r="F65" s="303" t="s">
        <v>124</v>
      </c>
      <c r="G65" s="303"/>
      <c r="H65" s="303"/>
      <c r="I65" s="303"/>
      <c r="J65" s="303"/>
      <c r="K65" s="303"/>
      <c r="L65" s="303"/>
      <c r="M65" s="304"/>
    </row>
    <row r="66" spans="2:13" ht="18" hidden="1" customHeight="1" x14ac:dyDescent="0.3">
      <c r="B66" s="5" t="s">
        <v>125</v>
      </c>
      <c r="C66" s="6">
        <v>44547</v>
      </c>
      <c r="D66" s="7" t="s">
        <v>126</v>
      </c>
      <c r="E66" s="7"/>
      <c r="F66" s="303" t="s">
        <v>127</v>
      </c>
      <c r="G66" s="303"/>
      <c r="H66" s="303"/>
      <c r="I66" s="303"/>
      <c r="J66" s="303"/>
      <c r="K66" s="303"/>
      <c r="L66" s="303"/>
      <c r="M66" s="304"/>
    </row>
    <row r="67" spans="2:13" ht="18" hidden="1" customHeight="1" x14ac:dyDescent="0.3">
      <c r="B67" s="5" t="s">
        <v>128</v>
      </c>
      <c r="C67" s="6">
        <v>44613</v>
      </c>
      <c r="D67" s="7" t="s">
        <v>24</v>
      </c>
      <c r="E67" s="7"/>
      <c r="F67" s="303" t="s">
        <v>129</v>
      </c>
      <c r="G67" s="303"/>
      <c r="H67" s="303"/>
      <c r="I67" s="303"/>
      <c r="J67" s="303"/>
      <c r="K67" s="303"/>
      <c r="L67" s="303"/>
      <c r="M67" s="304"/>
    </row>
    <row r="68" spans="2:13" ht="18" hidden="1" customHeight="1" x14ac:dyDescent="0.3">
      <c r="B68" s="5" t="s">
        <v>130</v>
      </c>
      <c r="C68" s="6">
        <v>44613</v>
      </c>
      <c r="D68" s="7" t="s">
        <v>131</v>
      </c>
      <c r="E68" s="7"/>
      <c r="F68" s="303" t="s">
        <v>132</v>
      </c>
      <c r="G68" s="303"/>
      <c r="H68" s="303"/>
      <c r="I68" s="303"/>
      <c r="J68" s="303"/>
      <c r="K68" s="303"/>
      <c r="L68" s="303"/>
      <c r="M68" s="304"/>
    </row>
    <row r="69" spans="2:13" ht="18" hidden="1" customHeight="1" x14ac:dyDescent="0.3">
      <c r="B69" s="5" t="s">
        <v>133</v>
      </c>
      <c r="C69" s="6">
        <v>44645</v>
      </c>
      <c r="D69" s="7" t="s">
        <v>126</v>
      </c>
      <c r="E69" s="7"/>
      <c r="F69" s="303" t="s">
        <v>134</v>
      </c>
      <c r="G69" s="303"/>
      <c r="H69" s="303"/>
      <c r="I69" s="303"/>
      <c r="J69" s="303"/>
      <c r="K69" s="303"/>
      <c r="L69" s="303"/>
      <c r="M69" s="304"/>
    </row>
    <row r="70" spans="2:13" ht="18" hidden="1" customHeight="1" x14ac:dyDescent="0.3">
      <c r="B70" s="5" t="s">
        <v>135</v>
      </c>
      <c r="C70" s="6">
        <v>44656</v>
      </c>
      <c r="D70" s="7" t="s">
        <v>131</v>
      </c>
      <c r="E70" s="7"/>
      <c r="F70" s="303" t="s">
        <v>136</v>
      </c>
      <c r="G70" s="303"/>
      <c r="H70" s="303"/>
      <c r="I70" s="303"/>
      <c r="J70" s="303"/>
      <c r="K70" s="303"/>
      <c r="L70" s="303"/>
      <c r="M70" s="304"/>
    </row>
    <row r="71" spans="2:13" ht="18" hidden="1" customHeight="1" x14ac:dyDescent="0.3">
      <c r="B71" s="5" t="s">
        <v>137</v>
      </c>
      <c r="C71" s="6">
        <v>44711</v>
      </c>
      <c r="D71" s="7" t="s">
        <v>24</v>
      </c>
      <c r="E71" s="7"/>
      <c r="F71" s="303" t="s">
        <v>138</v>
      </c>
      <c r="G71" s="303"/>
      <c r="H71" s="303"/>
      <c r="I71" s="303"/>
      <c r="J71" s="303"/>
      <c r="K71" s="303"/>
      <c r="L71" s="303"/>
      <c r="M71" s="304"/>
    </row>
    <row r="72" spans="2:13" ht="18" hidden="1" customHeight="1" x14ac:dyDescent="0.3">
      <c r="B72" s="5" t="s">
        <v>139</v>
      </c>
      <c r="C72" s="6">
        <v>44750</v>
      </c>
      <c r="D72" s="7" t="s">
        <v>140</v>
      </c>
      <c r="E72" s="7"/>
      <c r="F72" s="303" t="s">
        <v>141</v>
      </c>
      <c r="G72" s="303"/>
      <c r="H72" s="303"/>
      <c r="I72" s="303"/>
      <c r="J72" s="303"/>
      <c r="K72" s="303"/>
      <c r="L72" s="303"/>
      <c r="M72" s="304"/>
    </row>
    <row r="73" spans="2:13" ht="18" hidden="1" customHeight="1" x14ac:dyDescent="0.3">
      <c r="B73" s="5" t="s">
        <v>142</v>
      </c>
      <c r="C73" s="6">
        <v>44791</v>
      </c>
      <c r="D73" s="7" t="s">
        <v>24</v>
      </c>
      <c r="E73" s="7"/>
      <c r="F73" s="303" t="s">
        <v>143</v>
      </c>
      <c r="G73" s="303"/>
      <c r="H73" s="303"/>
      <c r="I73" s="303"/>
      <c r="J73" s="303"/>
      <c r="K73" s="303"/>
      <c r="L73" s="303"/>
      <c r="M73" s="304"/>
    </row>
    <row r="74" spans="2:13" ht="54" hidden="1" customHeight="1" x14ac:dyDescent="0.3">
      <c r="B74" s="5" t="s">
        <v>144</v>
      </c>
      <c r="C74" s="6">
        <v>44818</v>
      </c>
      <c r="D74" s="7" t="s">
        <v>15</v>
      </c>
      <c r="E74" s="7"/>
      <c r="F74" s="303" t="s">
        <v>145</v>
      </c>
      <c r="G74" s="303"/>
      <c r="H74" s="303"/>
      <c r="I74" s="303"/>
      <c r="J74" s="303"/>
      <c r="K74" s="303"/>
      <c r="L74" s="303"/>
      <c r="M74" s="304"/>
    </row>
    <row r="75" spans="2:13" ht="18" hidden="1" customHeight="1" x14ac:dyDescent="0.3">
      <c r="B75" s="5" t="s">
        <v>146</v>
      </c>
      <c r="C75" s="6">
        <v>44820</v>
      </c>
      <c r="D75" s="7" t="s">
        <v>24</v>
      </c>
      <c r="E75" s="7"/>
      <c r="F75" s="303" t="s">
        <v>147</v>
      </c>
      <c r="G75" s="303"/>
      <c r="H75" s="303"/>
      <c r="I75" s="303"/>
      <c r="J75" s="303"/>
      <c r="K75" s="303"/>
      <c r="L75" s="303"/>
      <c r="M75" s="304"/>
    </row>
    <row r="76" spans="2:13" ht="18" hidden="1" customHeight="1" x14ac:dyDescent="0.3">
      <c r="B76" s="5" t="s">
        <v>148</v>
      </c>
      <c r="C76" s="6">
        <v>44827</v>
      </c>
      <c r="D76" s="7" t="s">
        <v>140</v>
      </c>
      <c r="E76" s="7"/>
      <c r="F76" s="303" t="s">
        <v>149</v>
      </c>
      <c r="G76" s="303"/>
      <c r="H76" s="303"/>
      <c r="I76" s="303"/>
      <c r="J76" s="303"/>
      <c r="K76" s="303"/>
      <c r="L76" s="303"/>
      <c r="M76" s="304"/>
    </row>
    <row r="77" spans="2:13" ht="18" hidden="1" customHeight="1" x14ac:dyDescent="0.3">
      <c r="B77" s="5" t="s">
        <v>150</v>
      </c>
      <c r="C77" s="6">
        <v>44832</v>
      </c>
      <c r="D77" s="7" t="s">
        <v>24</v>
      </c>
      <c r="E77" s="7"/>
      <c r="F77" s="303" t="s">
        <v>151</v>
      </c>
      <c r="G77" s="303"/>
      <c r="H77" s="303"/>
      <c r="I77" s="303"/>
      <c r="J77" s="303"/>
      <c r="K77" s="303"/>
      <c r="L77" s="303"/>
      <c r="M77" s="304"/>
    </row>
    <row r="78" spans="2:13" ht="75" hidden="1" customHeight="1" x14ac:dyDescent="0.3">
      <c r="B78" s="5" t="s">
        <v>152</v>
      </c>
      <c r="C78" s="6">
        <v>44852</v>
      </c>
      <c r="D78" s="7" t="s">
        <v>21</v>
      </c>
      <c r="E78" s="7"/>
      <c r="F78" s="301" t="s">
        <v>153</v>
      </c>
      <c r="G78" s="301"/>
      <c r="H78" s="301"/>
      <c r="I78" s="301"/>
      <c r="J78" s="301"/>
      <c r="K78" s="301"/>
      <c r="L78" s="301"/>
      <c r="M78" s="302"/>
    </row>
    <row r="79" spans="2:13" ht="97.5" hidden="1" customHeight="1" x14ac:dyDescent="0.3">
      <c r="B79" s="5" t="s">
        <v>154</v>
      </c>
      <c r="C79" s="6">
        <v>44858</v>
      </c>
      <c r="D79" s="7" t="s">
        <v>21</v>
      </c>
      <c r="E79" s="7"/>
      <c r="F79" s="301" t="s">
        <v>155</v>
      </c>
      <c r="G79" s="301"/>
      <c r="H79" s="301"/>
      <c r="I79" s="301"/>
      <c r="J79" s="301"/>
      <c r="K79" s="301"/>
      <c r="L79" s="301"/>
      <c r="M79" s="302"/>
    </row>
    <row r="80" spans="2:13" ht="30" hidden="1" customHeight="1" x14ac:dyDescent="0.3">
      <c r="B80" s="5" t="s">
        <v>156</v>
      </c>
      <c r="C80" s="6">
        <v>44859</v>
      </c>
      <c r="D80" s="7" t="s">
        <v>21</v>
      </c>
      <c r="E80" s="7"/>
      <c r="F80" s="301" t="s">
        <v>157</v>
      </c>
      <c r="G80" s="301"/>
      <c r="H80" s="301"/>
      <c r="I80" s="301"/>
      <c r="J80" s="301"/>
      <c r="K80" s="301"/>
      <c r="L80" s="301"/>
      <c r="M80" s="302"/>
    </row>
    <row r="81" spans="2:13" ht="18" hidden="1" customHeight="1" x14ac:dyDescent="0.3">
      <c r="B81" s="5" t="s">
        <v>158</v>
      </c>
      <c r="C81" s="6">
        <v>44860</v>
      </c>
      <c r="D81" s="7" t="s">
        <v>24</v>
      </c>
      <c r="E81" s="7"/>
      <c r="F81" s="301" t="s">
        <v>159</v>
      </c>
      <c r="G81" s="301"/>
      <c r="H81" s="301"/>
      <c r="I81" s="301"/>
      <c r="J81" s="301"/>
      <c r="K81" s="301"/>
      <c r="L81" s="301"/>
      <c r="M81" s="302"/>
    </row>
    <row r="82" spans="2:13" ht="18" hidden="1" customHeight="1" x14ac:dyDescent="0.3">
      <c r="B82" s="5" t="s">
        <v>160</v>
      </c>
      <c r="C82" s="6">
        <v>44861</v>
      </c>
      <c r="D82" s="7" t="s">
        <v>21</v>
      </c>
      <c r="E82" s="7"/>
      <c r="F82" s="303" t="s">
        <v>161</v>
      </c>
      <c r="G82" s="303"/>
      <c r="H82" s="303"/>
      <c r="I82" s="303"/>
      <c r="J82" s="303"/>
      <c r="K82" s="303"/>
      <c r="L82" s="303"/>
      <c r="M82" s="304"/>
    </row>
    <row r="83" spans="2:13" ht="18" hidden="1" customHeight="1" x14ac:dyDescent="0.3">
      <c r="B83" s="5" t="s">
        <v>162</v>
      </c>
      <c r="C83" s="6">
        <v>44866</v>
      </c>
      <c r="D83" s="7" t="s">
        <v>163</v>
      </c>
      <c r="E83" s="7"/>
      <c r="F83" s="301" t="s">
        <v>164</v>
      </c>
      <c r="G83" s="301"/>
      <c r="H83" s="301"/>
      <c r="I83" s="301"/>
      <c r="J83" s="301"/>
      <c r="K83" s="301"/>
      <c r="L83" s="301"/>
      <c r="M83" s="302"/>
    </row>
    <row r="84" spans="2:13" ht="18" hidden="1" customHeight="1" x14ac:dyDescent="0.3">
      <c r="B84" s="5" t="s">
        <v>165</v>
      </c>
      <c r="C84" s="6">
        <v>44867</v>
      </c>
      <c r="D84" s="7" t="s">
        <v>21</v>
      </c>
      <c r="E84" s="7"/>
      <c r="F84" s="301" t="s">
        <v>166</v>
      </c>
      <c r="G84" s="301"/>
      <c r="H84" s="301"/>
      <c r="I84" s="301"/>
      <c r="J84" s="301"/>
      <c r="K84" s="301"/>
      <c r="L84" s="301"/>
      <c r="M84" s="302"/>
    </row>
    <row r="85" spans="2:13" ht="30" hidden="1" customHeight="1" x14ac:dyDescent="0.3">
      <c r="B85" s="5" t="s">
        <v>167</v>
      </c>
      <c r="C85" s="6">
        <v>44868</v>
      </c>
      <c r="D85" s="7" t="s">
        <v>21</v>
      </c>
      <c r="E85" s="7"/>
      <c r="F85" s="301" t="s">
        <v>168</v>
      </c>
      <c r="G85" s="301"/>
      <c r="H85" s="301"/>
      <c r="I85" s="301"/>
      <c r="J85" s="301"/>
      <c r="K85" s="301"/>
      <c r="L85" s="301"/>
      <c r="M85" s="302"/>
    </row>
    <row r="86" spans="2:13" ht="18" hidden="1" customHeight="1" x14ac:dyDescent="0.3">
      <c r="B86" s="5" t="s">
        <v>169</v>
      </c>
      <c r="C86" s="6">
        <v>44873</v>
      </c>
      <c r="D86" s="7" t="s">
        <v>163</v>
      </c>
      <c r="E86" s="7"/>
      <c r="F86" s="301" t="s">
        <v>170</v>
      </c>
      <c r="G86" s="301"/>
      <c r="H86" s="301"/>
      <c r="I86" s="301"/>
      <c r="J86" s="301"/>
      <c r="K86" s="301"/>
      <c r="L86" s="301"/>
      <c r="M86" s="302"/>
    </row>
    <row r="87" spans="2:13" ht="18" hidden="1" customHeight="1" x14ac:dyDescent="0.3">
      <c r="B87" s="5" t="s">
        <v>171</v>
      </c>
      <c r="C87" s="6">
        <v>44881</v>
      </c>
      <c r="D87" s="7" t="s">
        <v>15</v>
      </c>
      <c r="E87" s="7"/>
      <c r="F87" s="301" t="s">
        <v>172</v>
      </c>
      <c r="G87" s="301"/>
      <c r="H87" s="301"/>
      <c r="I87" s="301"/>
      <c r="J87" s="301"/>
      <c r="K87" s="301"/>
      <c r="L87" s="301"/>
      <c r="M87" s="302"/>
    </row>
    <row r="88" spans="2:13" ht="35.25" hidden="1" customHeight="1" x14ac:dyDescent="0.3">
      <c r="B88" s="5" t="s">
        <v>173</v>
      </c>
      <c r="C88" s="6">
        <v>44900</v>
      </c>
      <c r="D88" s="7" t="s">
        <v>174</v>
      </c>
      <c r="E88" s="7"/>
      <c r="F88" s="301" t="s">
        <v>175</v>
      </c>
      <c r="G88" s="301"/>
      <c r="H88" s="301"/>
      <c r="I88" s="301"/>
      <c r="J88" s="301"/>
      <c r="K88" s="301"/>
      <c r="L88" s="301"/>
      <c r="M88" s="302"/>
    </row>
    <row r="89" spans="2:13" ht="35.25" hidden="1" customHeight="1" x14ac:dyDescent="0.3">
      <c r="B89" s="5" t="s">
        <v>176</v>
      </c>
      <c r="C89" s="6">
        <v>44916</v>
      </c>
      <c r="D89" s="7" t="s">
        <v>21</v>
      </c>
      <c r="E89" s="7"/>
      <c r="F89" s="301" t="s">
        <v>177</v>
      </c>
      <c r="G89" s="301"/>
      <c r="H89" s="301"/>
      <c r="I89" s="301"/>
      <c r="J89" s="301"/>
      <c r="K89" s="301"/>
      <c r="L89" s="301"/>
      <c r="M89" s="302"/>
    </row>
    <row r="90" spans="2:13" ht="35.25" hidden="1" customHeight="1" x14ac:dyDescent="0.3">
      <c r="B90" s="5" t="s">
        <v>178</v>
      </c>
      <c r="C90" s="6">
        <v>44995</v>
      </c>
      <c r="D90" s="7" t="s">
        <v>179</v>
      </c>
      <c r="E90" s="7"/>
      <c r="F90" s="301" t="s">
        <v>180</v>
      </c>
      <c r="G90" s="301"/>
      <c r="H90" s="301"/>
      <c r="I90" s="301"/>
      <c r="J90" s="301"/>
      <c r="K90" s="301"/>
      <c r="L90" s="301"/>
      <c r="M90" s="302"/>
    </row>
    <row r="91" spans="2:13" ht="75.75" hidden="1" customHeight="1" x14ac:dyDescent="0.3">
      <c r="B91" s="5" t="s">
        <v>181</v>
      </c>
      <c r="C91" s="6">
        <v>45013</v>
      </c>
      <c r="D91" s="7" t="s">
        <v>179</v>
      </c>
      <c r="E91" s="7"/>
      <c r="F91" s="301" t="s">
        <v>182</v>
      </c>
      <c r="G91" s="301"/>
      <c r="H91" s="301"/>
      <c r="I91" s="301"/>
      <c r="J91" s="301"/>
      <c r="K91" s="301"/>
      <c r="L91" s="301"/>
      <c r="M91" s="302"/>
    </row>
    <row r="92" spans="2:13" ht="18" hidden="1" customHeight="1" x14ac:dyDescent="0.3">
      <c r="B92" s="5" t="s">
        <v>183</v>
      </c>
      <c r="C92" s="6">
        <v>45014</v>
      </c>
      <c r="D92" s="7" t="s">
        <v>184</v>
      </c>
      <c r="E92" s="7"/>
      <c r="F92" s="301" t="s">
        <v>185</v>
      </c>
      <c r="G92" s="301"/>
      <c r="H92" s="301"/>
      <c r="I92" s="301"/>
      <c r="J92" s="301"/>
      <c r="K92" s="301"/>
      <c r="L92" s="301"/>
      <c r="M92" s="302"/>
    </row>
    <row r="93" spans="2:13" ht="18" hidden="1" customHeight="1" x14ac:dyDescent="0.3">
      <c r="B93" s="5" t="s">
        <v>186</v>
      </c>
      <c r="C93" s="6">
        <v>45022</v>
      </c>
      <c r="D93" s="7" t="s">
        <v>187</v>
      </c>
      <c r="E93" s="7"/>
      <c r="F93" s="303" t="s">
        <v>188</v>
      </c>
      <c r="G93" s="303"/>
      <c r="H93" s="303"/>
      <c r="I93" s="303"/>
      <c r="J93" s="303"/>
      <c r="K93" s="303"/>
      <c r="L93" s="303"/>
      <c r="M93" s="304"/>
    </row>
    <row r="94" spans="2:13" ht="18" hidden="1" customHeight="1" x14ac:dyDescent="0.3">
      <c r="B94" s="5" t="s">
        <v>189</v>
      </c>
      <c r="C94" s="6">
        <v>45026</v>
      </c>
      <c r="D94" s="7" t="s">
        <v>126</v>
      </c>
      <c r="E94" s="7"/>
      <c r="F94" s="301" t="s">
        <v>190</v>
      </c>
      <c r="G94" s="301"/>
      <c r="H94" s="301"/>
      <c r="I94" s="301"/>
      <c r="J94" s="301"/>
      <c r="K94" s="301"/>
      <c r="L94" s="301"/>
      <c r="M94" s="302"/>
    </row>
    <row r="95" spans="2:13" ht="18" hidden="1" customHeight="1" x14ac:dyDescent="0.3">
      <c r="B95" s="5" t="s">
        <v>191</v>
      </c>
      <c r="C95" s="6">
        <v>45035</v>
      </c>
      <c r="D95" s="7" t="s">
        <v>140</v>
      </c>
      <c r="E95" s="7"/>
      <c r="F95" s="301" t="s">
        <v>192</v>
      </c>
      <c r="G95" s="301"/>
      <c r="H95" s="301"/>
      <c r="I95" s="301"/>
      <c r="J95" s="301"/>
      <c r="K95" s="301"/>
      <c r="L95" s="301"/>
      <c r="M95" s="302"/>
    </row>
    <row r="96" spans="2:13" ht="18" hidden="1" customHeight="1" x14ac:dyDescent="0.3">
      <c r="B96" s="5" t="s">
        <v>193</v>
      </c>
      <c r="C96" s="6">
        <v>45026</v>
      </c>
      <c r="D96" s="7" t="s">
        <v>194</v>
      </c>
      <c r="E96" s="7"/>
      <c r="F96" s="334" t="s">
        <v>195</v>
      </c>
      <c r="G96" s="335"/>
      <c r="H96" s="335"/>
      <c r="I96" s="335"/>
      <c r="J96" s="335"/>
      <c r="K96" s="335"/>
      <c r="L96" s="335"/>
      <c r="M96" s="336"/>
    </row>
    <row r="97" spans="2:13" ht="18" hidden="1" customHeight="1" x14ac:dyDescent="0.3">
      <c r="B97" s="138" t="s">
        <v>196</v>
      </c>
      <c r="C97" s="139">
        <v>45056</v>
      </c>
      <c r="D97" s="140" t="s">
        <v>197</v>
      </c>
      <c r="E97" s="140"/>
      <c r="F97" s="334" t="s">
        <v>198</v>
      </c>
      <c r="G97" s="335"/>
      <c r="H97" s="335"/>
      <c r="I97" s="335"/>
      <c r="J97" s="335"/>
      <c r="K97" s="335"/>
      <c r="L97" s="335"/>
      <c r="M97" s="336"/>
    </row>
    <row r="98" spans="2:13" ht="45" hidden="1" customHeight="1" x14ac:dyDescent="0.3">
      <c r="B98" s="138" t="s">
        <v>199</v>
      </c>
      <c r="C98" s="139">
        <v>45065</v>
      </c>
      <c r="D98" s="140" t="s">
        <v>200</v>
      </c>
      <c r="E98" s="140"/>
      <c r="F98" s="334" t="s">
        <v>201</v>
      </c>
      <c r="G98" s="335"/>
      <c r="H98" s="335"/>
      <c r="I98" s="335"/>
      <c r="J98" s="335"/>
      <c r="K98" s="335"/>
      <c r="L98" s="335"/>
      <c r="M98" s="336"/>
    </row>
    <row r="99" spans="2:13" ht="18" hidden="1" customHeight="1" x14ac:dyDescent="0.3">
      <c r="B99" s="138" t="s">
        <v>202</v>
      </c>
      <c r="C99" s="139">
        <v>45079</v>
      </c>
      <c r="D99" s="140" t="s">
        <v>203</v>
      </c>
      <c r="E99" s="140"/>
      <c r="F99" s="334" t="s">
        <v>204</v>
      </c>
      <c r="G99" s="335"/>
      <c r="H99" s="335"/>
      <c r="I99" s="335"/>
      <c r="J99" s="335"/>
      <c r="K99" s="335"/>
      <c r="L99" s="335"/>
      <c r="M99" s="336"/>
    </row>
    <row r="100" spans="2:13" ht="45" hidden="1" customHeight="1" x14ac:dyDescent="0.3">
      <c r="B100" s="138" t="s">
        <v>205</v>
      </c>
      <c r="C100" s="139">
        <v>45079</v>
      </c>
      <c r="D100" s="140" t="s">
        <v>203</v>
      </c>
      <c r="E100" s="140"/>
      <c r="F100" s="334" t="s">
        <v>206</v>
      </c>
      <c r="G100" s="335"/>
      <c r="H100" s="335"/>
      <c r="I100" s="335"/>
      <c r="J100" s="335"/>
      <c r="K100" s="335"/>
      <c r="L100" s="335"/>
      <c r="M100" s="336"/>
    </row>
    <row r="101" spans="2:13" ht="18" hidden="1" customHeight="1" x14ac:dyDescent="0.3">
      <c r="B101" s="138" t="s">
        <v>207</v>
      </c>
      <c r="C101" s="139">
        <v>45085</v>
      </c>
      <c r="D101" s="140" t="s">
        <v>21</v>
      </c>
      <c r="E101" s="140"/>
      <c r="F101" s="334" t="s">
        <v>208</v>
      </c>
      <c r="G101" s="335"/>
      <c r="H101" s="335"/>
      <c r="I101" s="335"/>
      <c r="J101" s="335"/>
      <c r="K101" s="335"/>
      <c r="L101" s="335"/>
      <c r="M101" s="336"/>
    </row>
    <row r="102" spans="2:13" ht="18" hidden="1" customHeight="1" x14ac:dyDescent="0.3">
      <c r="B102" s="138" t="s">
        <v>209</v>
      </c>
      <c r="C102" s="139">
        <v>45103</v>
      </c>
      <c r="D102" s="140" t="s">
        <v>24</v>
      </c>
      <c r="E102" s="140"/>
      <c r="F102" s="334" t="s">
        <v>210</v>
      </c>
      <c r="G102" s="335"/>
      <c r="H102" s="335"/>
      <c r="I102" s="335"/>
      <c r="J102" s="335"/>
      <c r="K102" s="335"/>
      <c r="L102" s="335"/>
      <c r="M102" s="336"/>
    </row>
    <row r="103" spans="2:13" ht="18" hidden="1" customHeight="1" x14ac:dyDescent="0.3">
      <c r="B103" s="138" t="s">
        <v>211</v>
      </c>
      <c r="C103" s="139">
        <v>45131</v>
      </c>
      <c r="D103" s="140" t="s">
        <v>15</v>
      </c>
      <c r="E103" s="140"/>
      <c r="F103" s="334" t="s">
        <v>212</v>
      </c>
      <c r="G103" s="335"/>
      <c r="H103" s="335"/>
      <c r="I103" s="335"/>
      <c r="J103" s="335"/>
      <c r="K103" s="335"/>
      <c r="L103" s="335"/>
      <c r="M103" s="336"/>
    </row>
    <row r="104" spans="2:13" ht="36.75" hidden="1" customHeight="1" x14ac:dyDescent="0.3">
      <c r="B104" s="138" t="s">
        <v>213</v>
      </c>
      <c r="C104" s="139">
        <v>45133</v>
      </c>
      <c r="D104" s="140" t="s">
        <v>15</v>
      </c>
      <c r="E104" s="140"/>
      <c r="F104" s="334" t="s">
        <v>214</v>
      </c>
      <c r="G104" s="335"/>
      <c r="H104" s="335"/>
      <c r="I104" s="335"/>
      <c r="J104" s="335"/>
      <c r="K104" s="335"/>
      <c r="L104" s="335"/>
      <c r="M104" s="336"/>
    </row>
    <row r="105" spans="2:13" ht="18" hidden="1" customHeight="1" x14ac:dyDescent="0.3">
      <c r="B105" s="138" t="s">
        <v>215</v>
      </c>
      <c r="C105" s="139">
        <v>45134</v>
      </c>
      <c r="D105" s="140" t="s">
        <v>15</v>
      </c>
      <c r="E105" s="140"/>
      <c r="F105" s="334" t="s">
        <v>216</v>
      </c>
      <c r="G105" s="335"/>
      <c r="H105" s="335"/>
      <c r="I105" s="335"/>
      <c r="J105" s="335"/>
      <c r="K105" s="335"/>
      <c r="L105" s="335"/>
      <c r="M105" s="336"/>
    </row>
    <row r="106" spans="2:13" ht="18" hidden="1" customHeight="1" x14ac:dyDescent="0.3">
      <c r="B106" s="138" t="s">
        <v>217</v>
      </c>
      <c r="C106" s="139">
        <v>45149</v>
      </c>
      <c r="D106" s="140" t="s">
        <v>24</v>
      </c>
      <c r="E106" s="140"/>
      <c r="F106" s="334" t="s">
        <v>218</v>
      </c>
      <c r="G106" s="335"/>
      <c r="H106" s="335"/>
      <c r="I106" s="335"/>
      <c r="J106" s="335"/>
      <c r="K106" s="335"/>
      <c r="L106" s="335"/>
      <c r="M106" s="336"/>
    </row>
    <row r="107" spans="2:13" ht="18" hidden="1" customHeight="1" x14ac:dyDescent="0.3">
      <c r="B107" s="138" t="s">
        <v>219</v>
      </c>
      <c r="C107" s="139">
        <v>45155</v>
      </c>
      <c r="D107" s="140" t="s">
        <v>24</v>
      </c>
      <c r="E107" s="140"/>
      <c r="F107" s="334" t="s">
        <v>220</v>
      </c>
      <c r="G107" s="335"/>
      <c r="H107" s="335"/>
      <c r="I107" s="335"/>
      <c r="J107" s="335"/>
      <c r="K107" s="335"/>
      <c r="L107" s="335"/>
      <c r="M107" s="336"/>
    </row>
    <row r="108" spans="2:13" ht="18" hidden="1" customHeight="1" x14ac:dyDescent="0.3">
      <c r="B108" s="138" t="s">
        <v>221</v>
      </c>
      <c r="C108" s="139">
        <v>45162</v>
      </c>
      <c r="D108" s="140" t="s">
        <v>222</v>
      </c>
      <c r="E108" s="140"/>
      <c r="F108" s="334" t="s">
        <v>223</v>
      </c>
      <c r="G108" s="335"/>
      <c r="H108" s="335"/>
      <c r="I108" s="335"/>
      <c r="J108" s="335"/>
      <c r="K108" s="335"/>
      <c r="L108" s="335"/>
      <c r="M108" s="336"/>
    </row>
    <row r="109" spans="2:13" ht="18" hidden="1" customHeight="1" x14ac:dyDescent="0.3">
      <c r="B109" s="138" t="s">
        <v>224</v>
      </c>
      <c r="C109" s="139">
        <v>45176</v>
      </c>
      <c r="D109" s="140" t="s">
        <v>15</v>
      </c>
      <c r="E109" s="140"/>
      <c r="F109" s="334" t="s">
        <v>225</v>
      </c>
      <c r="G109" s="335"/>
      <c r="H109" s="335"/>
      <c r="I109" s="335"/>
      <c r="J109" s="335"/>
      <c r="K109" s="335"/>
      <c r="L109" s="335"/>
      <c r="M109" s="336"/>
    </row>
    <row r="110" spans="2:13" ht="36.75" hidden="1" customHeight="1" x14ac:dyDescent="0.3">
      <c r="B110" s="138" t="s">
        <v>226</v>
      </c>
      <c r="C110" s="139">
        <v>45183</v>
      </c>
      <c r="D110" s="140" t="s">
        <v>21</v>
      </c>
      <c r="E110" s="140"/>
      <c r="F110" s="334" t="s">
        <v>227</v>
      </c>
      <c r="G110" s="335"/>
      <c r="H110" s="335"/>
      <c r="I110" s="335"/>
      <c r="J110" s="335"/>
      <c r="K110" s="335"/>
      <c r="L110" s="335"/>
      <c r="M110" s="336"/>
    </row>
    <row r="111" spans="2:13" ht="13.5" hidden="1" x14ac:dyDescent="0.3">
      <c r="B111" s="138" t="s">
        <v>228</v>
      </c>
      <c r="C111" s="139">
        <v>45184</v>
      </c>
      <c r="D111" s="140" t="s">
        <v>21</v>
      </c>
      <c r="E111" s="140"/>
      <c r="F111" s="334" t="s">
        <v>229</v>
      </c>
      <c r="G111" s="335"/>
      <c r="H111" s="335"/>
      <c r="I111" s="335"/>
      <c r="J111" s="335"/>
      <c r="K111" s="335"/>
      <c r="L111" s="335"/>
      <c r="M111" s="336"/>
    </row>
    <row r="112" spans="2:13" ht="13.5" hidden="1" x14ac:dyDescent="0.3">
      <c r="B112" s="138" t="s">
        <v>230</v>
      </c>
      <c r="C112" s="139">
        <v>45189</v>
      </c>
      <c r="D112" s="140" t="s">
        <v>15</v>
      </c>
      <c r="E112" s="140"/>
      <c r="F112" s="334" t="s">
        <v>231</v>
      </c>
      <c r="G112" s="335"/>
      <c r="H112" s="335"/>
      <c r="I112" s="335"/>
      <c r="J112" s="335"/>
      <c r="K112" s="335"/>
      <c r="L112" s="335"/>
      <c r="M112" s="336"/>
    </row>
    <row r="113" spans="2:13" ht="13.5" hidden="1" x14ac:dyDescent="0.3">
      <c r="B113" s="138" t="s">
        <v>232</v>
      </c>
      <c r="C113" s="139">
        <v>45190</v>
      </c>
      <c r="D113" s="140" t="s">
        <v>15</v>
      </c>
      <c r="E113" s="140"/>
      <c r="F113" s="334" t="s">
        <v>233</v>
      </c>
      <c r="G113" s="335"/>
      <c r="H113" s="335"/>
      <c r="I113" s="335"/>
      <c r="J113" s="335"/>
      <c r="K113" s="335"/>
      <c r="L113" s="335"/>
      <c r="M113" s="336"/>
    </row>
    <row r="114" spans="2:13" ht="13.5" hidden="1" x14ac:dyDescent="0.3">
      <c r="B114" s="138" t="s">
        <v>234</v>
      </c>
      <c r="C114" s="139">
        <v>45190</v>
      </c>
      <c r="D114" s="140" t="s">
        <v>21</v>
      </c>
      <c r="E114" s="140"/>
      <c r="F114" s="347" t="s">
        <v>235</v>
      </c>
      <c r="G114" s="348"/>
      <c r="H114" s="348"/>
      <c r="I114" s="348"/>
      <c r="J114" s="348"/>
      <c r="K114" s="348"/>
      <c r="L114" s="348"/>
      <c r="M114" s="349"/>
    </row>
    <row r="115" spans="2:13" ht="13.5" hidden="1" x14ac:dyDescent="0.3">
      <c r="B115" s="138" t="s">
        <v>236</v>
      </c>
      <c r="C115" s="139">
        <v>45195</v>
      </c>
      <c r="D115" s="140" t="s">
        <v>21</v>
      </c>
      <c r="E115" s="140"/>
      <c r="F115" s="334" t="s">
        <v>237</v>
      </c>
      <c r="G115" s="335"/>
      <c r="H115" s="335"/>
      <c r="I115" s="335"/>
      <c r="J115" s="335"/>
      <c r="K115" s="335"/>
      <c r="L115" s="335"/>
      <c r="M115" s="336"/>
    </row>
    <row r="116" spans="2:13" ht="13.5" hidden="1" x14ac:dyDescent="0.3">
      <c r="B116" s="138" t="s">
        <v>238</v>
      </c>
      <c r="C116" s="139">
        <v>45210</v>
      </c>
      <c r="D116" s="140" t="s">
        <v>21</v>
      </c>
      <c r="E116" s="140"/>
      <c r="F116" s="334" t="s">
        <v>239</v>
      </c>
      <c r="G116" s="335"/>
      <c r="H116" s="335"/>
      <c r="I116" s="335"/>
      <c r="J116" s="335"/>
      <c r="K116" s="335"/>
      <c r="L116" s="335"/>
      <c r="M116" s="336"/>
    </row>
    <row r="117" spans="2:13" ht="13.5" hidden="1" x14ac:dyDescent="0.3">
      <c r="B117" s="138" t="s">
        <v>240</v>
      </c>
      <c r="C117" s="139">
        <v>45216</v>
      </c>
      <c r="D117" s="140" t="s">
        <v>179</v>
      </c>
      <c r="E117" s="140"/>
      <c r="F117" s="301" t="s">
        <v>241</v>
      </c>
      <c r="G117" s="301"/>
      <c r="H117" s="301"/>
      <c r="I117" s="301"/>
      <c r="J117" s="301"/>
      <c r="K117" s="301"/>
      <c r="L117" s="301"/>
      <c r="M117" s="302"/>
    </row>
    <row r="118" spans="2:13" ht="13.5" hidden="1" x14ac:dyDescent="0.3">
      <c r="B118" s="138" t="s">
        <v>242</v>
      </c>
      <c r="C118" s="139">
        <v>45225</v>
      </c>
      <c r="D118" s="140" t="s">
        <v>15</v>
      </c>
      <c r="E118" s="140"/>
      <c r="F118" s="334" t="s">
        <v>243</v>
      </c>
      <c r="G118" s="335"/>
      <c r="H118" s="335"/>
      <c r="I118" s="335"/>
      <c r="J118" s="335"/>
      <c r="K118" s="335"/>
      <c r="L118" s="335"/>
      <c r="M118" s="336"/>
    </row>
    <row r="119" spans="2:13" ht="13.5" hidden="1" x14ac:dyDescent="0.3">
      <c r="B119" s="138" t="s">
        <v>244</v>
      </c>
      <c r="C119" s="139">
        <v>45226</v>
      </c>
      <c r="D119" s="140" t="s">
        <v>15</v>
      </c>
      <c r="E119" s="140"/>
      <c r="F119" s="334" t="s">
        <v>245</v>
      </c>
      <c r="G119" s="335"/>
      <c r="H119" s="335"/>
      <c r="I119" s="335"/>
      <c r="J119" s="335"/>
      <c r="K119" s="335"/>
      <c r="L119" s="335"/>
      <c r="M119" s="336"/>
    </row>
    <row r="120" spans="2:13" ht="13.5" hidden="1" x14ac:dyDescent="0.3">
      <c r="B120" s="165" t="s">
        <v>246</v>
      </c>
      <c r="C120" s="166">
        <v>45229</v>
      </c>
      <c r="D120" s="167" t="s">
        <v>21</v>
      </c>
      <c r="E120" s="167"/>
      <c r="F120" s="337" t="s">
        <v>247</v>
      </c>
      <c r="G120" s="337"/>
      <c r="H120" s="337"/>
      <c r="I120" s="337"/>
      <c r="J120" s="337"/>
      <c r="K120" s="337"/>
      <c r="L120" s="337"/>
      <c r="M120" s="338"/>
    </row>
    <row r="121" spans="2:13" ht="13.5" hidden="1" x14ac:dyDescent="0.3">
      <c r="B121" s="168" t="s">
        <v>248</v>
      </c>
      <c r="C121" s="169">
        <v>45257</v>
      </c>
      <c r="D121" s="170" t="s">
        <v>179</v>
      </c>
      <c r="E121" s="170"/>
      <c r="F121" s="345" t="s">
        <v>249</v>
      </c>
      <c r="G121" s="345"/>
      <c r="H121" s="345"/>
      <c r="I121" s="345"/>
      <c r="J121" s="345"/>
      <c r="K121" s="345"/>
      <c r="L121" s="345"/>
      <c r="M121" s="346"/>
    </row>
    <row r="122" spans="2:13" ht="13.5" hidden="1" x14ac:dyDescent="0.3">
      <c r="B122" s="5" t="s">
        <v>250</v>
      </c>
      <c r="C122" s="6">
        <v>45261</v>
      </c>
      <c r="D122" s="7" t="s">
        <v>179</v>
      </c>
      <c r="E122" s="7"/>
      <c r="F122" s="301" t="s">
        <v>251</v>
      </c>
      <c r="G122" s="301"/>
      <c r="H122" s="301"/>
      <c r="I122" s="301"/>
      <c r="J122" s="301"/>
      <c r="K122" s="301"/>
      <c r="L122" s="301"/>
      <c r="M122" s="302"/>
    </row>
    <row r="123" spans="2:13" ht="18" hidden="1" customHeight="1" x14ac:dyDescent="0.3">
      <c r="B123" s="165" t="s">
        <v>252</v>
      </c>
      <c r="C123" s="166">
        <v>45264</v>
      </c>
      <c r="D123" s="167" t="s">
        <v>15</v>
      </c>
      <c r="E123" s="167"/>
      <c r="F123" s="337" t="s">
        <v>253</v>
      </c>
      <c r="G123" s="337"/>
      <c r="H123" s="337"/>
      <c r="I123" s="337"/>
      <c r="J123" s="337"/>
      <c r="K123" s="337"/>
      <c r="L123" s="337"/>
      <c r="M123" s="338"/>
    </row>
    <row r="124" spans="2:13" ht="18" hidden="1" customHeight="1" x14ac:dyDescent="0.3">
      <c r="B124" s="173" t="s">
        <v>254</v>
      </c>
      <c r="C124" s="174">
        <v>45274</v>
      </c>
      <c r="D124" s="175" t="s">
        <v>179</v>
      </c>
      <c r="E124" s="175"/>
      <c r="F124" s="307" t="s">
        <v>255</v>
      </c>
      <c r="G124" s="307"/>
      <c r="H124" s="307"/>
      <c r="I124" s="307"/>
      <c r="J124" s="307"/>
      <c r="K124" s="307"/>
      <c r="L124" s="307"/>
      <c r="M124" s="308"/>
    </row>
    <row r="125" spans="2:13" ht="18" hidden="1" customHeight="1" x14ac:dyDescent="0.3">
      <c r="B125" s="173" t="s">
        <v>256</v>
      </c>
      <c r="C125" s="174">
        <v>45295</v>
      </c>
      <c r="D125" s="175" t="s">
        <v>194</v>
      </c>
      <c r="E125" s="176"/>
      <c r="F125" s="307" t="s">
        <v>257</v>
      </c>
      <c r="G125" s="307"/>
      <c r="H125" s="307"/>
      <c r="I125" s="307"/>
      <c r="J125" s="307"/>
      <c r="K125" s="307"/>
      <c r="L125" s="307"/>
      <c r="M125" s="308"/>
    </row>
    <row r="126" spans="2:13" ht="18" hidden="1" customHeight="1" x14ac:dyDescent="0.3">
      <c r="B126" s="173" t="s">
        <v>258</v>
      </c>
      <c r="C126" s="174">
        <v>45295</v>
      </c>
      <c r="D126" s="175" t="s">
        <v>131</v>
      </c>
      <c r="E126" s="175"/>
      <c r="F126" s="307" t="s">
        <v>259</v>
      </c>
      <c r="G126" s="307"/>
      <c r="H126" s="307"/>
      <c r="I126" s="307"/>
      <c r="J126" s="307"/>
      <c r="K126" s="307"/>
      <c r="L126" s="307"/>
      <c r="M126" s="308"/>
    </row>
    <row r="127" spans="2:13" ht="18" hidden="1" customHeight="1" x14ac:dyDescent="0.3">
      <c r="B127" s="173" t="s">
        <v>260</v>
      </c>
      <c r="C127" s="174">
        <v>45295</v>
      </c>
      <c r="D127" s="175" t="s">
        <v>21</v>
      </c>
      <c r="E127" s="175"/>
      <c r="F127" s="309" t="s">
        <v>261</v>
      </c>
      <c r="G127" s="310"/>
      <c r="H127" s="310"/>
      <c r="I127" s="310"/>
      <c r="J127" s="310"/>
      <c r="K127" s="310"/>
      <c r="L127" s="310"/>
      <c r="M127" s="311"/>
    </row>
    <row r="128" spans="2:13" ht="18" hidden="1" customHeight="1" x14ac:dyDescent="0.3">
      <c r="B128" s="173" t="s">
        <v>262</v>
      </c>
      <c r="C128" s="174">
        <v>45313</v>
      </c>
      <c r="D128" s="175" t="s">
        <v>263</v>
      </c>
      <c r="E128" s="175"/>
      <c r="F128" s="307" t="s">
        <v>264</v>
      </c>
      <c r="G128" s="307"/>
      <c r="H128" s="307"/>
      <c r="I128" s="307"/>
      <c r="J128" s="307"/>
      <c r="K128" s="307"/>
      <c r="L128" s="307"/>
      <c r="M128" s="308"/>
    </row>
    <row r="129" spans="2:13" ht="18" hidden="1" customHeight="1" x14ac:dyDescent="0.3">
      <c r="B129" s="173" t="s">
        <v>265</v>
      </c>
      <c r="C129" s="174">
        <v>45335</v>
      </c>
      <c r="D129" s="175" t="s">
        <v>266</v>
      </c>
      <c r="E129" s="175"/>
      <c r="F129" s="309" t="s">
        <v>267</v>
      </c>
      <c r="G129" s="310"/>
      <c r="H129" s="310"/>
      <c r="I129" s="310"/>
      <c r="J129" s="310"/>
      <c r="K129" s="310"/>
      <c r="L129" s="310"/>
      <c r="M129" s="311"/>
    </row>
    <row r="130" spans="2:13" ht="18" hidden="1" customHeight="1" x14ac:dyDescent="0.3">
      <c r="B130" s="173" t="s">
        <v>268</v>
      </c>
      <c r="C130" s="174">
        <v>45341</v>
      </c>
      <c r="D130" s="175" t="s">
        <v>269</v>
      </c>
      <c r="E130" s="175"/>
      <c r="F130" s="309" t="s">
        <v>270</v>
      </c>
      <c r="G130" s="310"/>
      <c r="H130" s="310"/>
      <c r="I130" s="310"/>
      <c r="J130" s="310"/>
      <c r="K130" s="310"/>
      <c r="L130" s="310"/>
      <c r="M130" s="311"/>
    </row>
    <row r="131" spans="2:13" ht="31.5" hidden="1" customHeight="1" x14ac:dyDescent="0.3">
      <c r="B131" s="173" t="s">
        <v>271</v>
      </c>
      <c r="C131" s="174">
        <v>45364</v>
      </c>
      <c r="D131" s="175" t="s">
        <v>187</v>
      </c>
      <c r="E131" s="175"/>
      <c r="F131" s="309" t="s">
        <v>272</v>
      </c>
      <c r="G131" s="310"/>
      <c r="H131" s="310"/>
      <c r="I131" s="310"/>
      <c r="J131" s="310"/>
      <c r="K131" s="310"/>
      <c r="L131" s="310"/>
      <c r="M131" s="311"/>
    </row>
    <row r="132" spans="2:13" ht="18" hidden="1" customHeight="1" x14ac:dyDescent="0.3">
      <c r="B132" s="173" t="s">
        <v>273</v>
      </c>
      <c r="C132" s="174">
        <v>45366</v>
      </c>
      <c r="D132" s="175" t="s">
        <v>274</v>
      </c>
      <c r="E132" s="175"/>
      <c r="F132" s="309" t="s">
        <v>275</v>
      </c>
      <c r="G132" s="310"/>
      <c r="H132" s="310"/>
      <c r="I132" s="310"/>
      <c r="J132" s="310"/>
      <c r="K132" s="310"/>
      <c r="L132" s="310"/>
      <c r="M132" s="311"/>
    </row>
    <row r="133" spans="2:13" ht="18" hidden="1" customHeight="1" x14ac:dyDescent="0.3">
      <c r="B133" s="173" t="s">
        <v>276</v>
      </c>
      <c r="C133" s="174">
        <v>45379</v>
      </c>
      <c r="D133" s="175" t="s">
        <v>21</v>
      </c>
      <c r="E133" s="175"/>
      <c r="F133" s="309" t="s">
        <v>277</v>
      </c>
      <c r="G133" s="310"/>
      <c r="H133" s="310"/>
      <c r="I133" s="310"/>
      <c r="J133" s="310"/>
      <c r="K133" s="310"/>
      <c r="L133" s="310"/>
      <c r="M133" s="311"/>
    </row>
    <row r="134" spans="2:13" ht="18" hidden="1" customHeight="1" x14ac:dyDescent="0.3">
      <c r="B134" s="173" t="s">
        <v>278</v>
      </c>
      <c r="C134" s="174">
        <v>45390</v>
      </c>
      <c r="D134" s="175" t="s">
        <v>21</v>
      </c>
      <c r="E134" s="175"/>
      <c r="F134" s="309" t="s">
        <v>279</v>
      </c>
      <c r="G134" s="310"/>
      <c r="H134" s="310"/>
      <c r="I134" s="310"/>
      <c r="J134" s="310"/>
      <c r="K134" s="310"/>
      <c r="L134" s="310"/>
      <c r="M134" s="311"/>
    </row>
    <row r="135" spans="2:13" ht="18" hidden="1" customHeight="1" x14ac:dyDescent="0.3">
      <c r="B135" s="173" t="s">
        <v>280</v>
      </c>
      <c r="C135" s="174">
        <v>45390</v>
      </c>
      <c r="D135" s="175" t="s">
        <v>21</v>
      </c>
      <c r="E135" s="175"/>
      <c r="F135" s="342" t="s">
        <v>281</v>
      </c>
      <c r="G135" s="343"/>
      <c r="H135" s="343"/>
      <c r="I135" s="343"/>
      <c r="J135" s="343"/>
      <c r="K135" s="343"/>
      <c r="L135" s="343"/>
      <c r="M135" s="344"/>
    </row>
    <row r="136" spans="2:13" ht="44.25" hidden="1" customHeight="1" x14ac:dyDescent="0.3">
      <c r="B136" s="189" t="s">
        <v>282</v>
      </c>
      <c r="C136" s="185">
        <v>45414</v>
      </c>
      <c r="D136" s="184" t="s">
        <v>140</v>
      </c>
      <c r="E136" s="186"/>
      <c r="F136" s="299" t="s">
        <v>201</v>
      </c>
      <c r="G136" s="299"/>
      <c r="H136" s="299"/>
      <c r="I136" s="299"/>
      <c r="J136" s="299"/>
      <c r="K136" s="299"/>
      <c r="L136" s="299"/>
      <c r="M136" s="300"/>
    </row>
    <row r="137" spans="2:13" ht="18" hidden="1" customHeight="1" x14ac:dyDescent="0.3">
      <c r="B137" s="188" t="s">
        <v>283</v>
      </c>
      <c r="C137" s="174">
        <v>45422</v>
      </c>
      <c r="D137" s="175" t="s">
        <v>21</v>
      </c>
      <c r="E137" s="186"/>
      <c r="F137" s="309" t="s">
        <v>284</v>
      </c>
      <c r="G137" s="310"/>
      <c r="H137" s="310"/>
      <c r="I137" s="310"/>
      <c r="J137" s="310"/>
      <c r="K137" s="310"/>
      <c r="L137" s="310"/>
      <c r="M137" s="311"/>
    </row>
    <row r="138" spans="2:13" ht="18" hidden="1" customHeight="1" x14ac:dyDescent="0.3">
      <c r="B138" s="189" t="s">
        <v>285</v>
      </c>
      <c r="C138" s="185">
        <v>45426</v>
      </c>
      <c r="D138" s="184" t="s">
        <v>187</v>
      </c>
      <c r="E138" s="186"/>
      <c r="F138" s="309" t="s">
        <v>286</v>
      </c>
      <c r="G138" s="310"/>
      <c r="H138" s="310"/>
      <c r="I138" s="310"/>
      <c r="J138" s="310"/>
      <c r="K138" s="310"/>
      <c r="L138" s="310"/>
      <c r="M138" s="311"/>
    </row>
    <row r="139" spans="2:13" ht="18" hidden="1" customHeight="1" x14ac:dyDescent="0.3">
      <c r="B139" s="189" t="s">
        <v>287</v>
      </c>
      <c r="C139" s="185">
        <v>45426</v>
      </c>
      <c r="D139" s="184" t="s">
        <v>288</v>
      </c>
      <c r="E139" s="186"/>
      <c r="F139" s="309" t="s">
        <v>289</v>
      </c>
      <c r="G139" s="310"/>
      <c r="H139" s="310"/>
      <c r="I139" s="310"/>
      <c r="J139" s="310"/>
      <c r="K139" s="310"/>
      <c r="L139" s="310"/>
      <c r="M139" s="311"/>
    </row>
    <row r="140" spans="2:13" ht="18" hidden="1" customHeight="1" x14ac:dyDescent="0.3">
      <c r="B140" s="189" t="s">
        <v>290</v>
      </c>
      <c r="C140" s="185">
        <v>45477</v>
      </c>
      <c r="D140" s="184" t="s">
        <v>21</v>
      </c>
      <c r="E140" s="186"/>
      <c r="F140" s="309" t="s">
        <v>291</v>
      </c>
      <c r="G140" s="310"/>
      <c r="H140" s="310"/>
      <c r="I140" s="310"/>
      <c r="J140" s="310"/>
      <c r="K140" s="310"/>
      <c r="L140" s="310"/>
      <c r="M140" s="311"/>
    </row>
    <row r="141" spans="2:13" ht="18" hidden="1" customHeight="1" x14ac:dyDescent="0.3">
      <c r="B141" s="189" t="s">
        <v>292</v>
      </c>
      <c r="C141" s="185">
        <v>45490</v>
      </c>
      <c r="D141" s="184" t="s">
        <v>123</v>
      </c>
      <c r="E141" s="186"/>
      <c r="F141" s="299" t="s">
        <v>293</v>
      </c>
      <c r="G141" s="299"/>
      <c r="H141" s="299"/>
      <c r="I141" s="299"/>
      <c r="J141" s="299"/>
      <c r="K141" s="299"/>
      <c r="L141" s="299"/>
      <c r="M141" s="300"/>
    </row>
    <row r="142" spans="2:13" ht="18" hidden="1" customHeight="1" x14ac:dyDescent="0.3">
      <c r="B142" s="189" t="s">
        <v>294</v>
      </c>
      <c r="C142" s="185">
        <v>45499</v>
      </c>
      <c r="D142" s="184" t="s">
        <v>21</v>
      </c>
      <c r="E142" s="186"/>
      <c r="F142" s="299" t="s">
        <v>295</v>
      </c>
      <c r="G142" s="299"/>
      <c r="H142" s="299"/>
      <c r="I142" s="299"/>
      <c r="J142" s="299"/>
      <c r="K142" s="299"/>
      <c r="L142" s="299"/>
      <c r="M142" s="300"/>
    </row>
    <row r="143" spans="2:13" ht="18" hidden="1" customHeight="1" x14ac:dyDescent="0.3">
      <c r="B143" s="189" t="s">
        <v>296</v>
      </c>
      <c r="C143" s="185">
        <v>45509</v>
      </c>
      <c r="D143" s="184" t="s">
        <v>187</v>
      </c>
      <c r="E143" s="186"/>
      <c r="F143" s="299" t="s">
        <v>297</v>
      </c>
      <c r="G143" s="299"/>
      <c r="H143" s="299"/>
      <c r="I143" s="299"/>
      <c r="J143" s="299"/>
      <c r="K143" s="299"/>
      <c r="L143" s="299"/>
      <c r="M143" s="300"/>
    </row>
    <row r="144" spans="2:13" ht="18" hidden="1" customHeight="1" x14ac:dyDescent="0.3">
      <c r="B144" s="189" t="s">
        <v>298</v>
      </c>
      <c r="C144" s="185">
        <v>45518</v>
      </c>
      <c r="D144" s="184" t="s">
        <v>21</v>
      </c>
      <c r="E144" s="186"/>
      <c r="F144" s="299" t="s">
        <v>299</v>
      </c>
      <c r="G144" s="299"/>
      <c r="H144" s="299"/>
      <c r="I144" s="299"/>
      <c r="J144" s="299"/>
      <c r="K144" s="299"/>
      <c r="L144" s="299"/>
      <c r="M144" s="300"/>
    </row>
    <row r="145" spans="2:13" ht="18" hidden="1" customHeight="1" x14ac:dyDescent="0.3">
      <c r="B145" s="189" t="s">
        <v>300</v>
      </c>
      <c r="C145" s="185">
        <v>45523</v>
      </c>
      <c r="D145" s="184" t="s">
        <v>21</v>
      </c>
      <c r="E145" s="186"/>
      <c r="F145" s="299" t="s">
        <v>301</v>
      </c>
      <c r="G145" s="299"/>
      <c r="H145" s="299"/>
      <c r="I145" s="299"/>
      <c r="J145" s="299"/>
      <c r="K145" s="299"/>
      <c r="L145" s="299"/>
      <c r="M145" s="300"/>
    </row>
    <row r="146" spans="2:13" ht="18" hidden="1" customHeight="1" x14ac:dyDescent="0.3">
      <c r="B146" s="189" t="s">
        <v>302</v>
      </c>
      <c r="C146" s="185">
        <v>45531</v>
      </c>
      <c r="D146" s="184" t="s">
        <v>21</v>
      </c>
      <c r="E146" s="186"/>
      <c r="F146" s="299" t="s">
        <v>303</v>
      </c>
      <c r="G146" s="299"/>
      <c r="H146" s="299"/>
      <c r="I146" s="299"/>
      <c r="J146" s="299"/>
      <c r="K146" s="299"/>
      <c r="L146" s="299"/>
      <c r="M146" s="300"/>
    </row>
    <row r="147" spans="2:13" ht="18" hidden="1" customHeight="1" x14ac:dyDescent="0.3">
      <c r="B147" s="189" t="s">
        <v>304</v>
      </c>
      <c r="C147" s="185">
        <v>45532</v>
      </c>
      <c r="D147" s="184" t="s">
        <v>21</v>
      </c>
      <c r="E147" s="186"/>
      <c r="F147" s="299" t="s">
        <v>305</v>
      </c>
      <c r="G147" s="299"/>
      <c r="H147" s="299"/>
      <c r="I147" s="299"/>
      <c r="J147" s="299"/>
      <c r="K147" s="299"/>
      <c r="L147" s="299"/>
      <c r="M147" s="300"/>
    </row>
    <row r="148" spans="2:13" ht="18" hidden="1" customHeight="1" x14ac:dyDescent="0.3">
      <c r="B148" s="189" t="s">
        <v>306</v>
      </c>
      <c r="C148" s="185">
        <v>45533</v>
      </c>
      <c r="D148" s="184" t="s">
        <v>21</v>
      </c>
      <c r="E148" s="186"/>
      <c r="F148" s="299" t="s">
        <v>307</v>
      </c>
      <c r="G148" s="299"/>
      <c r="H148" s="299"/>
      <c r="I148" s="299"/>
      <c r="J148" s="299"/>
      <c r="K148" s="299"/>
      <c r="L148" s="299"/>
      <c r="M148" s="300"/>
    </row>
    <row r="149" spans="2:13" ht="18" hidden="1" customHeight="1" x14ac:dyDescent="0.3">
      <c r="B149" s="189" t="s">
        <v>308</v>
      </c>
      <c r="C149" s="185">
        <v>45534</v>
      </c>
      <c r="D149" s="184" t="s">
        <v>21</v>
      </c>
      <c r="E149" s="186"/>
      <c r="F149" s="299" t="s">
        <v>309</v>
      </c>
      <c r="G149" s="299"/>
      <c r="H149" s="299"/>
      <c r="I149" s="299"/>
      <c r="J149" s="299"/>
      <c r="K149" s="299"/>
      <c r="L149" s="299"/>
      <c r="M149" s="300"/>
    </row>
    <row r="150" spans="2:13" ht="18" hidden="1" customHeight="1" x14ac:dyDescent="0.3">
      <c r="B150" s="189" t="s">
        <v>310</v>
      </c>
      <c r="C150" s="185">
        <v>45537</v>
      </c>
      <c r="D150" s="184" t="s">
        <v>21</v>
      </c>
      <c r="E150" s="186"/>
      <c r="F150" s="299" t="s">
        <v>311</v>
      </c>
      <c r="G150" s="299"/>
      <c r="H150" s="299"/>
      <c r="I150" s="299"/>
      <c r="J150" s="299"/>
      <c r="K150" s="299"/>
      <c r="L150" s="299"/>
      <c r="M150" s="300"/>
    </row>
    <row r="151" spans="2:13" ht="18" hidden="1" customHeight="1" x14ac:dyDescent="0.3">
      <c r="B151" s="189" t="s">
        <v>312</v>
      </c>
      <c r="C151" s="185">
        <v>45539</v>
      </c>
      <c r="D151" s="184" t="s">
        <v>21</v>
      </c>
      <c r="E151" s="186"/>
      <c r="F151" s="299" t="s">
        <v>313</v>
      </c>
      <c r="G151" s="299"/>
      <c r="H151" s="299"/>
      <c r="I151" s="299"/>
      <c r="J151" s="299"/>
      <c r="K151" s="299"/>
      <c r="L151" s="299"/>
      <c r="M151" s="300"/>
    </row>
    <row r="152" spans="2:13" ht="41.25" hidden="1" customHeight="1" x14ac:dyDescent="0.3">
      <c r="B152" s="189" t="s">
        <v>314</v>
      </c>
      <c r="C152" s="185">
        <v>45540</v>
      </c>
      <c r="D152" s="184" t="s">
        <v>21</v>
      </c>
      <c r="E152" s="186"/>
      <c r="F152" s="299" t="s">
        <v>315</v>
      </c>
      <c r="G152" s="299"/>
      <c r="H152" s="299"/>
      <c r="I152" s="299"/>
      <c r="J152" s="299"/>
      <c r="K152" s="299"/>
      <c r="L152" s="299"/>
      <c r="M152" s="300"/>
    </row>
    <row r="153" spans="2:13" ht="18" hidden="1" customHeight="1" x14ac:dyDescent="0.3">
      <c r="B153" s="189" t="s">
        <v>316</v>
      </c>
      <c r="C153" s="185">
        <v>45541</v>
      </c>
      <c r="D153" s="184" t="s">
        <v>21</v>
      </c>
      <c r="E153" s="186"/>
      <c r="F153" s="299" t="s">
        <v>317</v>
      </c>
      <c r="G153" s="299"/>
      <c r="H153" s="299"/>
      <c r="I153" s="299"/>
      <c r="J153" s="299"/>
      <c r="K153" s="299"/>
      <c r="L153" s="299"/>
      <c r="M153" s="300"/>
    </row>
    <row r="154" spans="2:13" ht="33" hidden="1" customHeight="1" x14ac:dyDescent="0.3">
      <c r="B154" s="189" t="s">
        <v>318</v>
      </c>
      <c r="C154" s="185">
        <v>45545</v>
      </c>
      <c r="D154" s="184" t="s">
        <v>21</v>
      </c>
      <c r="E154" s="186"/>
      <c r="F154" s="299" t="s">
        <v>319</v>
      </c>
      <c r="G154" s="299"/>
      <c r="H154" s="299"/>
      <c r="I154" s="299"/>
      <c r="J154" s="299"/>
      <c r="K154" s="299"/>
      <c r="L154" s="299"/>
      <c r="M154" s="300"/>
    </row>
    <row r="155" spans="2:13" ht="18" hidden="1" customHeight="1" x14ac:dyDescent="0.3">
      <c r="B155" s="189" t="s">
        <v>320</v>
      </c>
      <c r="C155" s="185">
        <v>45548</v>
      </c>
      <c r="D155" s="184" t="s">
        <v>21</v>
      </c>
      <c r="E155" s="186"/>
      <c r="F155" s="299" t="s">
        <v>321</v>
      </c>
      <c r="G155" s="299"/>
      <c r="H155" s="299"/>
      <c r="I155" s="299"/>
      <c r="J155" s="299"/>
      <c r="K155" s="299"/>
      <c r="L155" s="299"/>
      <c r="M155" s="300"/>
    </row>
    <row r="156" spans="2:13" ht="18" hidden="1" customHeight="1" x14ac:dyDescent="0.3">
      <c r="B156" s="189" t="s">
        <v>322</v>
      </c>
      <c r="C156" s="185">
        <v>45562</v>
      </c>
      <c r="D156" s="184" t="s">
        <v>21</v>
      </c>
      <c r="E156" s="186"/>
      <c r="F156" s="299" t="s">
        <v>323</v>
      </c>
      <c r="G156" s="299"/>
      <c r="H156" s="299"/>
      <c r="I156" s="299"/>
      <c r="J156" s="299"/>
      <c r="K156" s="299"/>
      <c r="L156" s="299"/>
      <c r="M156" s="300"/>
    </row>
    <row r="157" spans="2:13" ht="18" hidden="1" customHeight="1" x14ac:dyDescent="0.3">
      <c r="B157" s="189" t="s">
        <v>324</v>
      </c>
      <c r="C157" s="185">
        <v>45565</v>
      </c>
      <c r="D157" s="184" t="s">
        <v>21</v>
      </c>
      <c r="E157" s="186"/>
      <c r="F157" s="299" t="s">
        <v>325</v>
      </c>
      <c r="G157" s="299"/>
      <c r="H157" s="299"/>
      <c r="I157" s="299"/>
      <c r="J157" s="299"/>
      <c r="K157" s="299"/>
      <c r="L157" s="299"/>
      <c r="M157" s="300"/>
    </row>
    <row r="158" spans="2:13" ht="18" hidden="1" customHeight="1" x14ac:dyDescent="0.3">
      <c r="B158" s="189" t="s">
        <v>326</v>
      </c>
      <c r="C158" s="185">
        <v>45569</v>
      </c>
      <c r="D158" s="184" t="s">
        <v>21</v>
      </c>
      <c r="E158" s="186"/>
      <c r="F158" s="299" t="s">
        <v>327</v>
      </c>
      <c r="G158" s="299"/>
      <c r="H158" s="299"/>
      <c r="I158" s="299"/>
      <c r="J158" s="299"/>
      <c r="K158" s="299"/>
      <c r="L158" s="299"/>
      <c r="M158" s="300"/>
    </row>
    <row r="159" spans="2:13" ht="18" hidden="1" customHeight="1" x14ac:dyDescent="0.3">
      <c r="B159" s="189" t="s">
        <v>328</v>
      </c>
      <c r="C159" s="185">
        <v>45573</v>
      </c>
      <c r="D159" s="184" t="s">
        <v>187</v>
      </c>
      <c r="E159" s="186"/>
      <c r="F159" s="299" t="s">
        <v>329</v>
      </c>
      <c r="G159" s="299"/>
      <c r="H159" s="299"/>
      <c r="I159" s="299"/>
      <c r="J159" s="299"/>
      <c r="K159" s="299"/>
      <c r="L159" s="299"/>
      <c r="M159" s="300"/>
    </row>
    <row r="160" spans="2:13" ht="18" hidden="1" customHeight="1" x14ac:dyDescent="0.3">
      <c r="B160" s="189" t="s">
        <v>330</v>
      </c>
      <c r="C160" s="185">
        <v>45579</v>
      </c>
      <c r="D160" s="184" t="s">
        <v>21</v>
      </c>
      <c r="E160" s="186"/>
      <c r="F160" s="299" t="s">
        <v>331</v>
      </c>
      <c r="G160" s="299"/>
      <c r="H160" s="299"/>
      <c r="I160" s="299"/>
      <c r="J160" s="299"/>
      <c r="K160" s="299"/>
      <c r="L160" s="299"/>
      <c r="M160" s="300"/>
    </row>
    <row r="161" spans="2:13" ht="18" hidden="1" customHeight="1" x14ac:dyDescent="0.3">
      <c r="B161" s="189" t="s">
        <v>332</v>
      </c>
      <c r="C161" s="185">
        <v>45614</v>
      </c>
      <c r="D161" s="184" t="s">
        <v>266</v>
      </c>
      <c r="E161" s="186"/>
      <c r="F161" s="299" t="s">
        <v>333</v>
      </c>
      <c r="G161" s="299"/>
      <c r="H161" s="299"/>
      <c r="I161" s="299"/>
      <c r="J161" s="299"/>
      <c r="K161" s="299"/>
      <c r="L161" s="299"/>
      <c r="M161" s="300"/>
    </row>
    <row r="162" spans="2:13" ht="18" hidden="1" customHeight="1" x14ac:dyDescent="0.3">
      <c r="B162" s="189" t="s">
        <v>334</v>
      </c>
      <c r="C162" s="185">
        <v>45614</v>
      </c>
      <c r="D162" s="184" t="s">
        <v>187</v>
      </c>
      <c r="E162" s="186"/>
      <c r="F162" s="299" t="s">
        <v>335</v>
      </c>
      <c r="G162" s="299"/>
      <c r="H162" s="299"/>
      <c r="I162" s="299"/>
      <c r="J162" s="299"/>
      <c r="K162" s="299"/>
      <c r="L162" s="299"/>
      <c r="M162" s="300"/>
    </row>
    <row r="163" spans="2:13" ht="38.25" hidden="1" customHeight="1" x14ac:dyDescent="0.3">
      <c r="B163" s="189" t="s">
        <v>336</v>
      </c>
      <c r="C163" s="185">
        <v>45628</v>
      </c>
      <c r="D163" s="184" t="s">
        <v>21</v>
      </c>
      <c r="E163" s="186"/>
      <c r="F163" s="299" t="s">
        <v>337</v>
      </c>
      <c r="G163" s="299"/>
      <c r="H163" s="299"/>
      <c r="I163" s="299"/>
      <c r="J163" s="299"/>
      <c r="K163" s="299"/>
      <c r="L163" s="299"/>
      <c r="M163" s="300"/>
    </row>
    <row r="164" spans="2:13" ht="29.25" hidden="1" customHeight="1" x14ac:dyDescent="0.3">
      <c r="B164" s="189" t="s">
        <v>338</v>
      </c>
      <c r="C164" s="185">
        <v>45629</v>
      </c>
      <c r="D164" s="184" t="s">
        <v>21</v>
      </c>
      <c r="E164" s="186"/>
      <c r="F164" s="299" t="s">
        <v>339</v>
      </c>
      <c r="G164" s="299"/>
      <c r="H164" s="299"/>
      <c r="I164" s="299"/>
      <c r="J164" s="299"/>
      <c r="K164" s="299"/>
      <c r="L164" s="299"/>
      <c r="M164" s="300"/>
    </row>
    <row r="165" spans="2:13" ht="18" hidden="1" customHeight="1" x14ac:dyDescent="0.3">
      <c r="B165" s="189" t="s">
        <v>340</v>
      </c>
      <c r="C165" s="185">
        <v>45691</v>
      </c>
      <c r="D165" s="184" t="s">
        <v>21</v>
      </c>
      <c r="E165" s="186"/>
      <c r="F165" s="299" t="s">
        <v>341</v>
      </c>
      <c r="G165" s="299"/>
      <c r="H165" s="299"/>
      <c r="I165" s="299"/>
      <c r="J165" s="299"/>
      <c r="K165" s="299"/>
      <c r="L165" s="299"/>
      <c r="M165" s="300"/>
    </row>
    <row r="166" spans="2:13" ht="18" hidden="1" customHeight="1" x14ac:dyDescent="0.3">
      <c r="B166" s="189" t="s">
        <v>342</v>
      </c>
      <c r="C166" s="185">
        <v>45693</v>
      </c>
      <c r="D166" s="184" t="s">
        <v>21</v>
      </c>
      <c r="E166" s="186"/>
      <c r="F166" s="299" t="s">
        <v>343</v>
      </c>
      <c r="G166" s="299"/>
      <c r="H166" s="299"/>
      <c r="I166" s="299"/>
      <c r="J166" s="299"/>
      <c r="K166" s="299"/>
      <c r="L166" s="299"/>
      <c r="M166" s="300"/>
    </row>
    <row r="167" spans="2:13" ht="18" hidden="1" customHeight="1" x14ac:dyDescent="0.3">
      <c r="B167" s="189" t="s">
        <v>344</v>
      </c>
      <c r="C167" s="185">
        <v>45705</v>
      </c>
      <c r="D167" s="184" t="s">
        <v>126</v>
      </c>
      <c r="E167" s="186"/>
      <c r="F167" s="299" t="s">
        <v>345</v>
      </c>
      <c r="G167" s="299"/>
      <c r="H167" s="299"/>
      <c r="I167" s="299"/>
      <c r="J167" s="299"/>
      <c r="K167" s="299"/>
      <c r="L167" s="299"/>
      <c r="M167" s="300"/>
    </row>
    <row r="168" spans="2:13" ht="18" hidden="1" customHeight="1" x14ac:dyDescent="0.3">
      <c r="B168" s="189" t="s">
        <v>346</v>
      </c>
      <c r="C168" s="185">
        <v>45726</v>
      </c>
      <c r="D168" s="184" t="s">
        <v>21</v>
      </c>
      <c r="E168" s="186"/>
      <c r="F168" s="299" t="s">
        <v>347</v>
      </c>
      <c r="G168" s="299"/>
      <c r="H168" s="299"/>
      <c r="I168" s="299"/>
      <c r="J168" s="299"/>
      <c r="K168" s="299"/>
      <c r="L168" s="299"/>
      <c r="M168" s="300"/>
    </row>
    <row r="169" spans="2:13" ht="18" hidden="1" customHeight="1" x14ac:dyDescent="0.3">
      <c r="B169" s="189" t="s">
        <v>348</v>
      </c>
      <c r="C169" s="185">
        <v>45729</v>
      </c>
      <c r="D169" s="184" t="s">
        <v>21</v>
      </c>
      <c r="E169" s="186"/>
      <c r="F169" s="299" t="s">
        <v>349</v>
      </c>
      <c r="G169" s="299"/>
      <c r="H169" s="299"/>
      <c r="I169" s="299"/>
      <c r="J169" s="299"/>
      <c r="K169" s="299"/>
      <c r="L169" s="299"/>
      <c r="M169" s="300"/>
    </row>
    <row r="170" spans="2:13" ht="18" hidden="1" customHeight="1" x14ac:dyDescent="0.3">
      <c r="B170" s="189" t="s">
        <v>350</v>
      </c>
      <c r="C170" s="185">
        <v>45750</v>
      </c>
      <c r="D170" s="184" t="s">
        <v>21</v>
      </c>
      <c r="E170" s="186"/>
      <c r="F170" s="299" t="s">
        <v>351</v>
      </c>
      <c r="G170" s="299"/>
      <c r="H170" s="299"/>
      <c r="I170" s="299"/>
      <c r="J170" s="299"/>
      <c r="K170" s="299"/>
      <c r="L170" s="299"/>
      <c r="M170" s="300"/>
    </row>
    <row r="171" spans="2:13" ht="18" hidden="1" customHeight="1" x14ac:dyDescent="0.3">
      <c r="B171" s="189" t="s">
        <v>352</v>
      </c>
      <c r="C171" s="185">
        <v>45764</v>
      </c>
      <c r="D171" s="184" t="s">
        <v>21</v>
      </c>
      <c r="E171" s="186"/>
      <c r="F171" s="299" t="s">
        <v>353</v>
      </c>
      <c r="G171" s="299"/>
      <c r="H171" s="299"/>
      <c r="I171" s="299"/>
      <c r="J171" s="299"/>
      <c r="K171" s="299"/>
      <c r="L171" s="299"/>
      <c r="M171" s="300"/>
    </row>
    <row r="172" spans="2:13" ht="18" hidden="1" customHeight="1" x14ac:dyDescent="0.3">
      <c r="B172" s="189" t="s">
        <v>354</v>
      </c>
      <c r="C172" s="185">
        <v>45765</v>
      </c>
      <c r="D172" s="184" t="s">
        <v>21</v>
      </c>
      <c r="E172" s="186"/>
      <c r="F172" s="299" t="s">
        <v>355</v>
      </c>
      <c r="G172" s="299"/>
      <c r="H172" s="299"/>
      <c r="I172" s="299"/>
      <c r="J172" s="299"/>
      <c r="K172" s="299"/>
      <c r="L172" s="299"/>
      <c r="M172" s="300"/>
    </row>
    <row r="173" spans="2:13" ht="18" hidden="1" customHeight="1" x14ac:dyDescent="0.3">
      <c r="B173" s="189" t="s">
        <v>356</v>
      </c>
      <c r="C173" s="185">
        <v>45768</v>
      </c>
      <c r="D173" s="184" t="s">
        <v>21</v>
      </c>
      <c r="E173" s="186"/>
      <c r="F173" s="299" t="s">
        <v>357</v>
      </c>
      <c r="G173" s="299"/>
      <c r="H173" s="299"/>
      <c r="I173" s="299"/>
      <c r="J173" s="299"/>
      <c r="K173" s="299"/>
      <c r="L173" s="299"/>
      <c r="M173" s="300"/>
    </row>
    <row r="174" spans="2:13" ht="18" hidden="1" customHeight="1" x14ac:dyDescent="0.3">
      <c r="B174" s="189" t="s">
        <v>358</v>
      </c>
      <c r="C174" s="185">
        <v>45769</v>
      </c>
      <c r="D174" s="184" t="s">
        <v>21</v>
      </c>
      <c r="E174" s="186"/>
      <c r="F174" s="299" t="s">
        <v>359</v>
      </c>
      <c r="G174" s="299"/>
      <c r="H174" s="299"/>
      <c r="I174" s="299"/>
      <c r="J174" s="299"/>
      <c r="K174" s="299"/>
      <c r="L174" s="299"/>
      <c r="M174" s="300"/>
    </row>
    <row r="175" spans="2:13" ht="18" hidden="1" customHeight="1" x14ac:dyDescent="0.3">
      <c r="B175" s="189" t="s">
        <v>360</v>
      </c>
      <c r="C175" s="185">
        <v>45784</v>
      </c>
      <c r="D175" s="184" t="s">
        <v>21</v>
      </c>
      <c r="E175" s="186"/>
      <c r="F175" s="299" t="s">
        <v>361</v>
      </c>
      <c r="G175" s="299"/>
      <c r="H175" s="299"/>
      <c r="I175" s="299"/>
      <c r="J175" s="299"/>
      <c r="K175" s="299"/>
      <c r="L175" s="299"/>
      <c r="M175" s="300"/>
    </row>
    <row r="176" spans="2:13" ht="18" hidden="1" customHeight="1" x14ac:dyDescent="0.3">
      <c r="B176" s="189" t="s">
        <v>362</v>
      </c>
      <c r="C176" s="185">
        <v>45796</v>
      </c>
      <c r="D176" s="184" t="s">
        <v>21</v>
      </c>
      <c r="E176" s="186"/>
      <c r="F176" s="299" t="s">
        <v>363</v>
      </c>
      <c r="G176" s="299"/>
      <c r="H176" s="299"/>
      <c r="I176" s="299"/>
      <c r="J176" s="299"/>
      <c r="K176" s="299"/>
      <c r="L176" s="299"/>
      <c r="M176" s="300"/>
    </row>
    <row r="177" spans="2:13" ht="18" hidden="1" customHeight="1" x14ac:dyDescent="0.3">
      <c r="B177" s="189" t="s">
        <v>364</v>
      </c>
      <c r="C177" s="185">
        <v>45797</v>
      </c>
      <c r="D177" s="184" t="s">
        <v>21</v>
      </c>
      <c r="E177" s="186"/>
      <c r="F177" s="299" t="s">
        <v>365</v>
      </c>
      <c r="G177" s="299"/>
      <c r="H177" s="299"/>
      <c r="I177" s="299"/>
      <c r="J177" s="299"/>
      <c r="K177" s="299"/>
      <c r="L177" s="299"/>
      <c r="M177" s="300"/>
    </row>
    <row r="178" spans="2:13" ht="34.5" hidden="1" customHeight="1" x14ac:dyDescent="0.3">
      <c r="B178" s="189" t="s">
        <v>366</v>
      </c>
      <c r="C178" s="185">
        <v>45798</v>
      </c>
      <c r="D178" s="184" t="s">
        <v>21</v>
      </c>
      <c r="E178" s="186"/>
      <c r="F178" s="299" t="s">
        <v>367</v>
      </c>
      <c r="G178" s="299"/>
      <c r="H178" s="299"/>
      <c r="I178" s="299"/>
      <c r="J178" s="299"/>
      <c r="K178" s="299"/>
      <c r="L178" s="299"/>
      <c r="M178" s="300"/>
    </row>
    <row r="179" spans="2:13" ht="35.25" hidden="1" customHeight="1" x14ac:dyDescent="0.3">
      <c r="B179" s="189" t="s">
        <v>368</v>
      </c>
      <c r="C179" s="185">
        <v>45819</v>
      </c>
      <c r="D179" s="184" t="s">
        <v>21</v>
      </c>
      <c r="E179" s="186"/>
      <c r="F179" s="299" t="s">
        <v>369</v>
      </c>
      <c r="G179" s="299"/>
      <c r="H179" s="299"/>
      <c r="I179" s="299"/>
      <c r="J179" s="299"/>
      <c r="K179" s="299"/>
      <c r="L179" s="299"/>
      <c r="M179" s="300"/>
    </row>
    <row r="180" spans="2:13" ht="33" hidden="1" customHeight="1" x14ac:dyDescent="0.3">
      <c r="B180" s="189" t="s">
        <v>370</v>
      </c>
      <c r="C180" s="185">
        <v>45831</v>
      </c>
      <c r="D180" s="184" t="s">
        <v>21</v>
      </c>
      <c r="E180" s="186"/>
      <c r="F180" s="299" t="s">
        <v>371</v>
      </c>
      <c r="G180" s="299"/>
      <c r="H180" s="299"/>
      <c r="I180" s="299"/>
      <c r="J180" s="299"/>
      <c r="K180" s="299"/>
      <c r="L180" s="299"/>
      <c r="M180" s="300"/>
    </row>
    <row r="181" spans="2:13" ht="18" hidden="1" customHeight="1" x14ac:dyDescent="0.3">
      <c r="B181" s="189" t="s">
        <v>372</v>
      </c>
      <c r="C181" s="185">
        <v>45834</v>
      </c>
      <c r="D181" s="184" t="s">
        <v>21</v>
      </c>
      <c r="E181" s="186"/>
      <c r="F181" s="299" t="s">
        <v>373</v>
      </c>
      <c r="G181" s="299"/>
      <c r="H181" s="299"/>
      <c r="I181" s="299"/>
      <c r="J181" s="299"/>
      <c r="K181" s="299"/>
      <c r="L181" s="299"/>
      <c r="M181" s="300"/>
    </row>
    <row r="182" spans="2:13" ht="18" hidden="1" customHeight="1" x14ac:dyDescent="0.3">
      <c r="B182" s="189" t="s">
        <v>374</v>
      </c>
      <c r="C182" s="185">
        <v>45854</v>
      </c>
      <c r="D182" s="184" t="s">
        <v>21</v>
      </c>
      <c r="E182" s="186"/>
      <c r="F182" s="299" t="s">
        <v>375</v>
      </c>
      <c r="G182" s="299"/>
      <c r="H182" s="299"/>
      <c r="I182" s="299"/>
      <c r="J182" s="299"/>
      <c r="K182" s="299"/>
      <c r="L182" s="299"/>
      <c r="M182" s="300"/>
    </row>
    <row r="183" spans="2:13" ht="18" hidden="1" customHeight="1" x14ac:dyDescent="0.3">
      <c r="B183" s="189" t="s">
        <v>376</v>
      </c>
      <c r="C183" s="185">
        <v>45874</v>
      </c>
      <c r="D183" s="184" t="s">
        <v>21</v>
      </c>
      <c r="E183" s="186"/>
      <c r="F183" s="299" t="s">
        <v>377</v>
      </c>
      <c r="G183" s="299"/>
      <c r="H183" s="299"/>
      <c r="I183" s="299"/>
      <c r="J183" s="299"/>
      <c r="K183" s="299"/>
      <c r="L183" s="299"/>
      <c r="M183" s="300"/>
    </row>
    <row r="184" spans="2:13" ht="18" hidden="1" customHeight="1" x14ac:dyDescent="0.3">
      <c r="B184" s="189" t="s">
        <v>378</v>
      </c>
      <c r="C184" s="185">
        <v>45876</v>
      </c>
      <c r="D184" s="184" t="s">
        <v>21</v>
      </c>
      <c r="E184" s="186"/>
      <c r="F184" s="299" t="s">
        <v>379</v>
      </c>
      <c r="G184" s="299"/>
      <c r="H184" s="299"/>
      <c r="I184" s="299"/>
      <c r="J184" s="299"/>
      <c r="K184" s="299"/>
      <c r="L184" s="299"/>
      <c r="M184" s="300"/>
    </row>
    <row r="185" spans="2:13" ht="18" hidden="1" customHeight="1" x14ac:dyDescent="0.3">
      <c r="B185" s="189" t="s">
        <v>380</v>
      </c>
      <c r="C185" s="185">
        <v>45894</v>
      </c>
      <c r="D185" s="184" t="s">
        <v>21</v>
      </c>
      <c r="E185" s="186"/>
      <c r="F185" s="299" t="s">
        <v>381</v>
      </c>
      <c r="G185" s="299"/>
      <c r="H185" s="299"/>
      <c r="I185" s="299"/>
      <c r="J185" s="299"/>
      <c r="K185" s="299"/>
      <c r="L185" s="299"/>
      <c r="M185" s="300"/>
    </row>
    <row r="186" spans="2:13" ht="18" hidden="1" customHeight="1" x14ac:dyDescent="0.3">
      <c r="B186" s="189" t="s">
        <v>382</v>
      </c>
      <c r="C186" s="185">
        <v>45896</v>
      </c>
      <c r="D186" s="184" t="s">
        <v>21</v>
      </c>
      <c r="E186" s="186"/>
      <c r="F186" s="299" t="s">
        <v>383</v>
      </c>
      <c r="G186" s="299"/>
      <c r="H186" s="299"/>
      <c r="I186" s="299"/>
      <c r="J186" s="299"/>
      <c r="K186" s="299"/>
      <c r="L186" s="299"/>
      <c r="M186" s="300"/>
    </row>
    <row r="187" spans="2:13" ht="18" hidden="1" customHeight="1" x14ac:dyDescent="0.3">
      <c r="B187" s="189" t="s">
        <v>384</v>
      </c>
      <c r="C187" s="185">
        <v>45897</v>
      </c>
      <c r="D187" s="184" t="s">
        <v>21</v>
      </c>
      <c r="E187" s="186"/>
      <c r="F187" s="299" t="s">
        <v>385</v>
      </c>
      <c r="G187" s="299"/>
      <c r="H187" s="299"/>
      <c r="I187" s="299"/>
      <c r="J187" s="299"/>
      <c r="K187" s="299"/>
      <c r="L187" s="299"/>
      <c r="M187" s="300"/>
    </row>
    <row r="188" spans="2:13" ht="18" hidden="1" customHeight="1" x14ac:dyDescent="0.3">
      <c r="B188" s="189" t="s">
        <v>386</v>
      </c>
      <c r="C188" s="185">
        <v>45901</v>
      </c>
      <c r="D188" s="184" t="s">
        <v>21</v>
      </c>
      <c r="E188" s="186"/>
      <c r="F188" s="299" t="s">
        <v>387</v>
      </c>
      <c r="G188" s="299"/>
      <c r="H188" s="299"/>
      <c r="I188" s="299"/>
      <c r="J188" s="299"/>
      <c r="K188" s="299"/>
      <c r="L188" s="299"/>
      <c r="M188" s="300"/>
    </row>
    <row r="189" spans="2:13" ht="18" hidden="1" customHeight="1" x14ac:dyDescent="0.3">
      <c r="B189" s="189" t="s">
        <v>388</v>
      </c>
      <c r="C189" s="185">
        <v>45916</v>
      </c>
      <c r="D189" s="184" t="s">
        <v>389</v>
      </c>
      <c r="E189" s="186"/>
      <c r="F189" s="299" t="s">
        <v>390</v>
      </c>
      <c r="G189" s="299"/>
      <c r="H189" s="299"/>
      <c r="I189" s="299"/>
      <c r="J189" s="299"/>
      <c r="K189" s="299"/>
      <c r="L189" s="299"/>
      <c r="M189" s="300"/>
    </row>
    <row r="190" spans="2:13" ht="18" hidden="1" customHeight="1" x14ac:dyDescent="0.3">
      <c r="B190" s="189" t="s">
        <v>391</v>
      </c>
      <c r="C190" s="185">
        <v>45916</v>
      </c>
      <c r="D190" s="184" t="s">
        <v>392</v>
      </c>
      <c r="E190" s="186"/>
      <c r="F190" s="350" t="s">
        <v>393</v>
      </c>
      <c r="G190" s="310"/>
      <c r="H190" s="310"/>
      <c r="I190" s="310"/>
      <c r="J190" s="310"/>
      <c r="K190" s="310"/>
      <c r="L190" s="310"/>
      <c r="M190" s="311"/>
    </row>
    <row r="191" spans="2:13" ht="18" hidden="1" customHeight="1" x14ac:dyDescent="0.3">
      <c r="B191" s="189" t="s">
        <v>394</v>
      </c>
      <c r="C191" s="185">
        <v>45918</v>
      </c>
      <c r="D191" s="184" t="s">
        <v>395</v>
      </c>
      <c r="E191" s="186"/>
      <c r="F191" s="299" t="s">
        <v>396</v>
      </c>
      <c r="G191" s="299"/>
      <c r="H191" s="299"/>
      <c r="I191" s="299"/>
      <c r="J191" s="299"/>
      <c r="K191" s="299"/>
      <c r="L191" s="299"/>
      <c r="M191" s="300"/>
    </row>
    <row r="192" spans="2:13" ht="18" hidden="1" customHeight="1" x14ac:dyDescent="0.3">
      <c r="B192" s="189" t="s">
        <v>397</v>
      </c>
      <c r="C192" s="185">
        <v>45922</v>
      </c>
      <c r="D192" s="184" t="s">
        <v>398</v>
      </c>
      <c r="E192" s="186"/>
      <c r="F192" s="299" t="s">
        <v>399</v>
      </c>
      <c r="G192" s="299"/>
      <c r="H192" s="299"/>
      <c r="I192" s="299"/>
      <c r="J192" s="299"/>
      <c r="K192" s="299"/>
      <c r="L192" s="299"/>
      <c r="M192" s="300"/>
    </row>
    <row r="193" spans="2:13" ht="29.25" hidden="1" customHeight="1" x14ac:dyDescent="0.3">
      <c r="B193" s="189" t="s">
        <v>400</v>
      </c>
      <c r="C193" s="185">
        <v>45922</v>
      </c>
      <c r="D193" s="184" t="s">
        <v>21</v>
      </c>
      <c r="E193" s="186"/>
      <c r="F193" s="299" t="s">
        <v>401</v>
      </c>
      <c r="G193" s="299"/>
      <c r="H193" s="299"/>
      <c r="I193" s="299"/>
      <c r="J193" s="299"/>
      <c r="K193" s="299"/>
      <c r="L193" s="299"/>
      <c r="M193" s="300"/>
    </row>
    <row r="194" spans="2:13" ht="19.5" hidden="1" customHeight="1" x14ac:dyDescent="0.3">
      <c r="B194" s="189" t="s">
        <v>402</v>
      </c>
      <c r="C194" s="185">
        <v>45924</v>
      </c>
      <c r="D194" s="184" t="s">
        <v>21</v>
      </c>
      <c r="E194" s="186"/>
      <c r="F194" s="299" t="s">
        <v>403</v>
      </c>
      <c r="G194" s="299"/>
      <c r="H194" s="299"/>
      <c r="I194" s="299"/>
      <c r="J194" s="299"/>
      <c r="K194" s="299"/>
      <c r="L194" s="299"/>
      <c r="M194" s="300"/>
    </row>
    <row r="195" spans="2:13" ht="19.5" hidden="1" customHeight="1" x14ac:dyDescent="0.3">
      <c r="B195" s="189" t="s">
        <v>404</v>
      </c>
      <c r="C195" s="185">
        <v>45932</v>
      </c>
      <c r="D195" s="184" t="s">
        <v>194</v>
      </c>
      <c r="E195" s="186"/>
      <c r="F195" s="299" t="s">
        <v>405</v>
      </c>
      <c r="G195" s="299"/>
      <c r="H195" s="299"/>
      <c r="I195" s="299"/>
      <c r="J195" s="299"/>
      <c r="K195" s="299"/>
      <c r="L195" s="299"/>
      <c r="M195" s="300"/>
    </row>
    <row r="196" spans="2:13" ht="24" hidden="1" customHeight="1" x14ac:dyDescent="0.3">
      <c r="B196" s="189" t="s">
        <v>406</v>
      </c>
      <c r="C196" s="185">
        <v>45951</v>
      </c>
      <c r="D196" s="184" t="s">
        <v>21</v>
      </c>
      <c r="E196" s="186"/>
      <c r="F196" s="299" t="s">
        <v>407</v>
      </c>
      <c r="G196" s="299"/>
      <c r="H196" s="299"/>
      <c r="I196" s="299"/>
      <c r="J196" s="299"/>
      <c r="K196" s="299"/>
      <c r="L196" s="299"/>
      <c r="M196" s="300"/>
    </row>
    <row r="197" spans="2:13" ht="19.5" hidden="1" customHeight="1" x14ac:dyDescent="0.3">
      <c r="B197" s="189" t="s">
        <v>408</v>
      </c>
      <c r="C197" s="185">
        <v>45951</v>
      </c>
      <c r="D197" s="184" t="s">
        <v>21</v>
      </c>
      <c r="E197" s="186"/>
      <c r="F197" s="299" t="s">
        <v>409</v>
      </c>
      <c r="G197" s="299"/>
      <c r="H197" s="299"/>
      <c r="I197" s="299"/>
      <c r="J197" s="299"/>
      <c r="K197" s="299"/>
      <c r="L197" s="299"/>
      <c r="M197" s="300"/>
    </row>
    <row r="198" spans="2:13" ht="19.5" hidden="1" customHeight="1" x14ac:dyDescent="0.3">
      <c r="B198" s="189" t="s">
        <v>410</v>
      </c>
      <c r="C198" s="185">
        <v>45951</v>
      </c>
      <c r="D198" s="184" t="s">
        <v>21</v>
      </c>
      <c r="E198" s="186"/>
      <c r="F198" s="299" t="s">
        <v>411</v>
      </c>
      <c r="G198" s="299"/>
      <c r="H198" s="299"/>
      <c r="I198" s="299"/>
      <c r="J198" s="299"/>
      <c r="K198" s="299"/>
      <c r="L198" s="299"/>
      <c r="M198" s="300"/>
    </row>
    <row r="199" spans="2:13" ht="19.5" hidden="1" customHeight="1" x14ac:dyDescent="0.3">
      <c r="B199" s="189" t="s">
        <v>412</v>
      </c>
      <c r="C199" s="185">
        <v>45952</v>
      </c>
      <c r="D199" s="184" t="s">
        <v>21</v>
      </c>
      <c r="E199" s="186"/>
      <c r="F199" s="299" t="s">
        <v>413</v>
      </c>
      <c r="G199" s="299"/>
      <c r="H199" s="299"/>
      <c r="I199" s="299"/>
      <c r="J199" s="299"/>
      <c r="K199" s="299"/>
      <c r="L199" s="299"/>
      <c r="M199" s="300"/>
    </row>
    <row r="200" spans="2:13" ht="19.5" hidden="1" customHeight="1" x14ac:dyDescent="0.3">
      <c r="B200" s="189" t="s">
        <v>414</v>
      </c>
      <c r="C200" s="185">
        <v>45952</v>
      </c>
      <c r="D200" s="184" t="s">
        <v>21</v>
      </c>
      <c r="E200" s="186"/>
      <c r="F200" s="299" t="s">
        <v>415</v>
      </c>
      <c r="G200" s="299"/>
      <c r="H200" s="299"/>
      <c r="I200" s="299"/>
      <c r="J200" s="299"/>
      <c r="K200" s="299"/>
      <c r="L200" s="299"/>
      <c r="M200" s="300"/>
    </row>
    <row r="201" spans="2:13" ht="19.5" hidden="1" customHeight="1" x14ac:dyDescent="0.3">
      <c r="B201" s="189" t="s">
        <v>416</v>
      </c>
      <c r="C201" s="185">
        <v>45959</v>
      </c>
      <c r="D201" s="184" t="s">
        <v>21</v>
      </c>
      <c r="E201" s="186"/>
      <c r="F201" s="299" t="s">
        <v>417</v>
      </c>
      <c r="G201" s="299"/>
      <c r="H201" s="299"/>
      <c r="I201" s="299"/>
      <c r="J201" s="299"/>
      <c r="K201" s="299"/>
      <c r="L201" s="299"/>
      <c r="M201" s="300"/>
    </row>
    <row r="202" spans="2:13" ht="19.5" hidden="1" customHeight="1" x14ac:dyDescent="0.3">
      <c r="B202" s="189" t="s">
        <v>418</v>
      </c>
      <c r="C202" s="185">
        <v>45959</v>
      </c>
      <c r="D202" s="184" t="s">
        <v>21</v>
      </c>
      <c r="E202" s="186"/>
      <c r="F202" s="299" t="s">
        <v>419</v>
      </c>
      <c r="G202" s="299"/>
      <c r="H202" s="299"/>
      <c r="I202" s="299"/>
      <c r="J202" s="299"/>
      <c r="K202" s="299"/>
      <c r="L202" s="299"/>
      <c r="M202" s="300"/>
    </row>
    <row r="203" spans="2:13" ht="19.5" hidden="1" customHeight="1" x14ac:dyDescent="0.3">
      <c r="B203" s="189" t="s">
        <v>420</v>
      </c>
      <c r="C203" s="185">
        <v>45960</v>
      </c>
      <c r="D203" s="184" t="s">
        <v>21</v>
      </c>
      <c r="E203" s="186"/>
      <c r="F203" s="299" t="s">
        <v>421</v>
      </c>
      <c r="G203" s="299"/>
      <c r="H203" s="299"/>
      <c r="I203" s="299"/>
      <c r="J203" s="299"/>
      <c r="K203" s="299"/>
      <c r="L203" s="299"/>
      <c r="M203" s="300"/>
    </row>
    <row r="204" spans="2:13" ht="19.5" hidden="1" customHeight="1" x14ac:dyDescent="0.3">
      <c r="B204" s="189" t="s">
        <v>422</v>
      </c>
      <c r="C204" s="185">
        <v>45961</v>
      </c>
      <c r="D204" s="184" t="s">
        <v>126</v>
      </c>
      <c r="E204" s="186"/>
      <c r="F204" s="299" t="s">
        <v>423</v>
      </c>
      <c r="G204" s="299"/>
      <c r="H204" s="299"/>
      <c r="I204" s="299"/>
      <c r="J204" s="299"/>
      <c r="K204" s="299"/>
      <c r="L204" s="299"/>
      <c r="M204" s="300"/>
    </row>
    <row r="205" spans="2:13" ht="19.5" hidden="1" customHeight="1" x14ac:dyDescent="0.3">
      <c r="B205" s="189" t="s">
        <v>424</v>
      </c>
      <c r="C205" s="185">
        <v>45961</v>
      </c>
      <c r="D205" s="184" t="s">
        <v>131</v>
      </c>
      <c r="E205" s="186"/>
      <c r="F205" s="299" t="s">
        <v>425</v>
      </c>
      <c r="G205" s="299"/>
      <c r="H205" s="299"/>
      <c r="I205" s="299"/>
      <c r="J205" s="299"/>
      <c r="K205" s="299"/>
      <c r="L205" s="299"/>
      <c r="M205" s="300"/>
    </row>
    <row r="206" spans="2:13" ht="19.5" hidden="1" customHeight="1" x14ac:dyDescent="0.3">
      <c r="B206" s="189" t="s">
        <v>426</v>
      </c>
      <c r="C206" s="185">
        <v>45961</v>
      </c>
      <c r="D206" s="184" t="s">
        <v>21</v>
      </c>
      <c r="E206" s="186"/>
      <c r="F206" s="299" t="s">
        <v>427</v>
      </c>
      <c r="G206" s="299"/>
      <c r="H206" s="299"/>
      <c r="I206" s="299"/>
      <c r="J206" s="299"/>
      <c r="K206" s="299"/>
      <c r="L206" s="299"/>
      <c r="M206" s="300"/>
    </row>
    <row r="207" spans="2:13" ht="19.5" customHeight="1" x14ac:dyDescent="0.3">
      <c r="B207" s="189" t="s">
        <v>428</v>
      </c>
      <c r="C207" s="185">
        <v>45965</v>
      </c>
      <c r="D207" s="184" t="s">
        <v>163</v>
      </c>
      <c r="E207" s="186"/>
      <c r="F207" s="299" t="s">
        <v>429</v>
      </c>
      <c r="G207" s="299"/>
      <c r="H207" s="299"/>
      <c r="I207" s="299"/>
      <c r="J207" s="299"/>
      <c r="K207" s="299"/>
      <c r="L207" s="299"/>
      <c r="M207" s="300"/>
    </row>
    <row r="208" spans="2:13" ht="19.5" customHeight="1" x14ac:dyDescent="0.3">
      <c r="B208" s="189" t="s">
        <v>430</v>
      </c>
      <c r="C208" s="185">
        <v>45973</v>
      </c>
      <c r="D208" s="184" t="s">
        <v>187</v>
      </c>
      <c r="E208" s="186"/>
      <c r="F208" s="299" t="s">
        <v>431</v>
      </c>
      <c r="G208" s="299"/>
      <c r="H208" s="299"/>
      <c r="I208" s="299"/>
      <c r="J208" s="299"/>
      <c r="K208" s="299"/>
      <c r="L208" s="299"/>
      <c r="M208" s="300"/>
    </row>
    <row r="209" spans="2:13" ht="19.5" customHeight="1" x14ac:dyDescent="0.3">
      <c r="B209" s="189" t="s">
        <v>432</v>
      </c>
      <c r="C209" s="185">
        <v>45974</v>
      </c>
      <c r="D209" s="184" t="s">
        <v>21</v>
      </c>
      <c r="E209" s="186"/>
      <c r="F209" s="299" t="s">
        <v>433</v>
      </c>
      <c r="G209" s="299"/>
      <c r="H209" s="299"/>
      <c r="I209" s="299"/>
      <c r="J209" s="299"/>
      <c r="K209" s="299"/>
      <c r="L209" s="299"/>
      <c r="M209" s="300"/>
    </row>
    <row r="210" spans="2:13" ht="19.5" customHeight="1" x14ac:dyDescent="0.3">
      <c r="B210" s="189" t="s">
        <v>434</v>
      </c>
      <c r="C210" s="185">
        <v>45979</v>
      </c>
      <c r="D210" s="184" t="s">
        <v>21</v>
      </c>
      <c r="E210" s="186"/>
      <c r="F210" s="299" t="s">
        <v>435</v>
      </c>
      <c r="G210" s="299"/>
      <c r="H210" s="299"/>
      <c r="I210" s="299"/>
      <c r="J210" s="299"/>
      <c r="K210" s="299"/>
      <c r="L210" s="299"/>
      <c r="M210" s="300"/>
    </row>
    <row r="211" spans="2:13" ht="19.5" customHeight="1" x14ac:dyDescent="0.3">
      <c r="B211" s="189" t="s">
        <v>436</v>
      </c>
      <c r="C211" s="185">
        <v>46008</v>
      </c>
      <c r="D211" s="184" t="s">
        <v>21</v>
      </c>
      <c r="E211" s="186"/>
      <c r="F211" s="299" t="s">
        <v>437</v>
      </c>
      <c r="G211" s="299"/>
      <c r="H211" s="299"/>
      <c r="I211" s="299"/>
      <c r="J211" s="299"/>
      <c r="K211" s="299"/>
      <c r="L211" s="299"/>
      <c r="M211" s="300"/>
    </row>
    <row r="212" spans="2:13" ht="19.5" customHeight="1" x14ac:dyDescent="0.3">
      <c r="B212" s="189" t="s">
        <v>438</v>
      </c>
      <c r="C212" s="185">
        <v>46008</v>
      </c>
      <c r="D212" s="184" t="s">
        <v>21</v>
      </c>
      <c r="E212" s="186"/>
      <c r="F212" s="299" t="s">
        <v>439</v>
      </c>
      <c r="G212" s="299"/>
      <c r="H212" s="299"/>
      <c r="I212" s="299"/>
      <c r="J212" s="299"/>
      <c r="K212" s="299"/>
      <c r="L212" s="299"/>
      <c r="M212" s="300"/>
    </row>
    <row r="213" spans="2:13" ht="19.5" customHeight="1" x14ac:dyDescent="0.3">
      <c r="B213" s="189" t="s">
        <v>440</v>
      </c>
      <c r="C213" s="185">
        <v>46031</v>
      </c>
      <c r="D213" s="184" t="s">
        <v>24</v>
      </c>
      <c r="E213" s="186"/>
      <c r="F213" s="299" t="s">
        <v>441</v>
      </c>
      <c r="G213" s="299"/>
      <c r="H213" s="299"/>
      <c r="I213" s="299"/>
      <c r="J213" s="299"/>
      <c r="K213" s="299"/>
      <c r="L213" s="299"/>
      <c r="M213" s="300"/>
    </row>
    <row r="214" spans="2:13" ht="19.5" customHeight="1" x14ac:dyDescent="0.3">
      <c r="B214" s="189" t="s">
        <v>442</v>
      </c>
      <c r="C214" s="185">
        <v>46055</v>
      </c>
      <c r="D214" s="184" t="s">
        <v>443</v>
      </c>
      <c r="E214" s="186"/>
      <c r="F214" s="299" t="s">
        <v>444</v>
      </c>
      <c r="G214" s="299"/>
      <c r="H214" s="299"/>
      <c r="I214" s="299"/>
      <c r="J214" s="299"/>
      <c r="K214" s="299"/>
      <c r="L214" s="299"/>
      <c r="M214" s="300"/>
    </row>
    <row r="215" spans="2:13" ht="19.5" customHeight="1" x14ac:dyDescent="0.3">
      <c r="B215" s="189" t="s">
        <v>445</v>
      </c>
      <c r="C215" s="185">
        <v>46097</v>
      </c>
      <c r="D215" s="184" t="s">
        <v>21</v>
      </c>
      <c r="E215" s="186"/>
      <c r="F215" s="299" t="s">
        <v>446</v>
      </c>
      <c r="G215" s="299"/>
      <c r="H215" s="299"/>
      <c r="I215" s="299"/>
      <c r="J215" s="299"/>
      <c r="K215" s="299"/>
      <c r="L215" s="299"/>
      <c r="M215" s="300"/>
    </row>
    <row r="216" spans="2:13" ht="19.5" customHeight="1" x14ac:dyDescent="0.3">
      <c r="B216" s="189" t="s">
        <v>2601</v>
      </c>
      <c r="C216" s="185">
        <v>46105</v>
      </c>
      <c r="D216" s="184" t="s">
        <v>266</v>
      </c>
      <c r="E216" s="186"/>
      <c r="F216" s="299" t="s">
        <v>2602</v>
      </c>
      <c r="G216" s="299"/>
      <c r="H216" s="299"/>
      <c r="I216" s="299"/>
      <c r="J216" s="299"/>
      <c r="K216" s="299"/>
      <c r="L216" s="299"/>
      <c r="M216" s="300"/>
    </row>
    <row r="217" spans="2:13" ht="19.5" customHeight="1" x14ac:dyDescent="0.3">
      <c r="B217" s="189" t="s">
        <v>2649</v>
      </c>
      <c r="C217" s="185">
        <v>46106</v>
      </c>
      <c r="D217" s="184" t="s">
        <v>21</v>
      </c>
      <c r="E217" s="186"/>
      <c r="F217" s="299" t="s">
        <v>2650</v>
      </c>
      <c r="G217" s="299"/>
      <c r="H217" s="299"/>
      <c r="I217" s="299"/>
      <c r="J217" s="299"/>
      <c r="K217" s="299"/>
      <c r="L217" s="299"/>
      <c r="M217" s="300"/>
    </row>
    <row r="218" spans="2:13" ht="19.5" customHeight="1" x14ac:dyDescent="0.3">
      <c r="B218" s="189" t="s">
        <v>2653</v>
      </c>
      <c r="C218" s="185">
        <v>46156</v>
      </c>
      <c r="D218" s="184" t="s">
        <v>392</v>
      </c>
      <c r="E218" s="186"/>
      <c r="F218" s="299" t="s">
        <v>2654</v>
      </c>
      <c r="G218" s="299"/>
      <c r="H218" s="299"/>
      <c r="I218" s="299"/>
      <c r="J218" s="299"/>
      <c r="K218" s="299"/>
      <c r="L218" s="299"/>
      <c r="M218" s="300"/>
    </row>
    <row r="219" spans="2:13" ht="19.5" customHeight="1" x14ac:dyDescent="0.3">
      <c r="B219" s="189" t="s">
        <v>2655</v>
      </c>
      <c r="C219" s="185">
        <v>46157</v>
      </c>
      <c r="D219" s="184" t="s">
        <v>21</v>
      </c>
      <c r="E219" s="186"/>
      <c r="F219" s="299" t="s">
        <v>2656</v>
      </c>
      <c r="G219" s="299"/>
      <c r="H219" s="299"/>
      <c r="I219" s="299"/>
      <c r="J219" s="299"/>
      <c r="K219" s="299"/>
      <c r="L219" s="299"/>
      <c r="M219" s="300"/>
    </row>
    <row r="220" spans="2:13" ht="19.5" customHeight="1" x14ac:dyDescent="0.3">
      <c r="B220" s="189" t="s">
        <v>2657</v>
      </c>
      <c r="C220" s="185">
        <v>46160</v>
      </c>
      <c r="D220" s="184" t="s">
        <v>187</v>
      </c>
      <c r="E220" s="186"/>
      <c r="F220" s="299" t="s">
        <v>2658</v>
      </c>
      <c r="G220" s="299"/>
      <c r="H220" s="299"/>
      <c r="I220" s="299"/>
      <c r="J220" s="299"/>
      <c r="K220" s="299"/>
      <c r="L220" s="299"/>
      <c r="M220" s="300"/>
    </row>
    <row r="221" spans="2:13" ht="46.5" customHeight="1" x14ac:dyDescent="0.3">
      <c r="B221" s="189" t="s">
        <v>2661</v>
      </c>
      <c r="C221" s="185">
        <v>46162</v>
      </c>
      <c r="D221" s="184" t="s">
        <v>21</v>
      </c>
      <c r="E221" s="186"/>
      <c r="F221" s="299" t="s">
        <v>2662</v>
      </c>
      <c r="G221" s="299"/>
      <c r="H221" s="299"/>
      <c r="I221" s="299"/>
      <c r="J221" s="299"/>
      <c r="K221" s="299"/>
      <c r="L221" s="299"/>
      <c r="M221" s="300"/>
    </row>
    <row r="222" spans="2:13" ht="18" customHeight="1" x14ac:dyDescent="0.3">
      <c r="B222" s="189" t="s">
        <v>2664</v>
      </c>
      <c r="C222" s="185">
        <v>46162</v>
      </c>
      <c r="D222" s="184" t="s">
        <v>21</v>
      </c>
      <c r="E222" s="186"/>
      <c r="F222" s="299" t="s">
        <v>2665</v>
      </c>
      <c r="G222" s="299"/>
      <c r="H222" s="299"/>
      <c r="I222" s="299"/>
      <c r="J222" s="299"/>
      <c r="K222" s="299"/>
      <c r="L222" s="299"/>
      <c r="M222" s="300"/>
    </row>
    <row r="223" spans="2:13" ht="18" customHeight="1" x14ac:dyDescent="0.3">
      <c r="B223" s="189" t="s">
        <v>2666</v>
      </c>
      <c r="C223" s="185">
        <v>46168</v>
      </c>
      <c r="D223" s="184" t="s">
        <v>2667</v>
      </c>
      <c r="E223" s="186"/>
      <c r="F223" s="299" t="s">
        <v>2668</v>
      </c>
      <c r="G223" s="299"/>
      <c r="H223" s="299"/>
      <c r="I223" s="299"/>
      <c r="J223" s="299"/>
      <c r="K223" s="299"/>
      <c r="L223" s="299"/>
      <c r="M223" s="300"/>
    </row>
    <row r="224" spans="2:13" ht="36" customHeight="1" x14ac:dyDescent="0.3">
      <c r="B224" s="189" t="s">
        <v>2707</v>
      </c>
      <c r="C224" s="185">
        <v>46188</v>
      </c>
      <c r="D224" s="184" t="s">
        <v>43</v>
      </c>
      <c r="E224" s="186"/>
      <c r="F224" s="299" t="s">
        <v>2708</v>
      </c>
      <c r="G224" s="299"/>
      <c r="H224" s="299"/>
      <c r="I224" s="299"/>
      <c r="J224" s="299"/>
      <c r="K224" s="299"/>
      <c r="L224" s="299"/>
      <c r="M224" s="300"/>
    </row>
    <row r="225" spans="2:13" ht="94.5" customHeight="1" x14ac:dyDescent="0.3">
      <c r="B225" s="189" t="s">
        <v>2712</v>
      </c>
      <c r="C225" s="185">
        <v>46188</v>
      </c>
      <c r="D225" s="184" t="s">
        <v>2711</v>
      </c>
      <c r="E225" s="186"/>
      <c r="F225" s="299" t="s">
        <v>2714</v>
      </c>
      <c r="G225" s="299"/>
      <c r="H225" s="299"/>
      <c r="I225" s="299"/>
      <c r="J225" s="299"/>
      <c r="K225" s="299"/>
      <c r="L225" s="299"/>
      <c r="M225" s="300"/>
    </row>
    <row r="226" spans="2:13" ht="36" customHeight="1" x14ac:dyDescent="0.3">
      <c r="B226" s="189" t="s">
        <v>2715</v>
      </c>
      <c r="C226" s="185">
        <v>46190</v>
      </c>
      <c r="D226" s="184" t="s">
        <v>2716</v>
      </c>
      <c r="E226" s="186"/>
      <c r="F226" s="299" t="s">
        <v>2717</v>
      </c>
      <c r="G226" s="299"/>
      <c r="H226" s="299"/>
      <c r="I226" s="299"/>
      <c r="J226" s="299"/>
      <c r="K226" s="299"/>
      <c r="L226" s="299"/>
      <c r="M226" s="300"/>
    </row>
    <row r="227" spans="2:13" ht="18" customHeight="1" x14ac:dyDescent="0.3">
      <c r="B227" s="189" t="s">
        <v>2718</v>
      </c>
      <c r="C227" s="185">
        <v>46190</v>
      </c>
      <c r="D227" s="184" t="s">
        <v>2716</v>
      </c>
      <c r="E227" s="186"/>
      <c r="F227" s="299" t="s">
        <v>2719</v>
      </c>
      <c r="G227" s="299"/>
      <c r="H227" s="299"/>
      <c r="I227" s="299"/>
      <c r="J227" s="299"/>
      <c r="K227" s="299"/>
      <c r="L227" s="299"/>
      <c r="M227" s="300"/>
    </row>
    <row r="228" spans="2:13" ht="96.75" customHeight="1" x14ac:dyDescent="0.3">
      <c r="B228" s="189" t="s">
        <v>2720</v>
      </c>
      <c r="C228" s="185">
        <v>46198</v>
      </c>
      <c r="D228" s="184" t="s">
        <v>2711</v>
      </c>
      <c r="E228" s="186"/>
      <c r="F228" s="299" t="s">
        <v>2721</v>
      </c>
      <c r="G228" s="299"/>
      <c r="H228" s="299"/>
      <c r="I228" s="299"/>
      <c r="J228" s="299"/>
      <c r="K228" s="299"/>
      <c r="L228" s="299"/>
      <c r="M228" s="300"/>
    </row>
    <row r="229" spans="2:13" ht="18" customHeight="1" x14ac:dyDescent="0.3">
      <c r="B229" s="189" t="s">
        <v>2727</v>
      </c>
      <c r="C229" s="185">
        <v>46202</v>
      </c>
      <c r="D229" s="184" t="s">
        <v>2726</v>
      </c>
      <c r="E229" s="186"/>
      <c r="F229" s="299" t="s">
        <v>2725</v>
      </c>
      <c r="G229" s="299"/>
      <c r="H229" s="299"/>
      <c r="I229" s="299"/>
      <c r="J229" s="299"/>
      <c r="K229" s="299"/>
      <c r="L229" s="299"/>
      <c r="M229" s="300"/>
    </row>
    <row r="230" spans="2:13" ht="18" customHeight="1" x14ac:dyDescent="0.3">
      <c r="B230" s="189" t="s">
        <v>2729</v>
      </c>
      <c r="C230" s="185">
        <v>46225</v>
      </c>
      <c r="D230" s="184" t="s">
        <v>2730</v>
      </c>
      <c r="E230" s="186"/>
      <c r="F230" s="299" t="s">
        <v>2731</v>
      </c>
      <c r="G230" s="299"/>
      <c r="H230" s="299"/>
      <c r="I230" s="299"/>
      <c r="J230" s="299"/>
      <c r="K230" s="299"/>
      <c r="L230" s="299"/>
      <c r="M230" s="300"/>
    </row>
    <row r="231" spans="2:13" ht="18" customHeight="1" x14ac:dyDescent="0.3">
      <c r="B231" s="189"/>
      <c r="C231" s="185"/>
      <c r="D231" s="184"/>
      <c r="E231" s="186"/>
      <c r="F231" s="299"/>
      <c r="G231" s="299"/>
      <c r="H231" s="299"/>
      <c r="I231" s="299"/>
      <c r="J231" s="299"/>
      <c r="K231" s="299"/>
      <c r="L231" s="299"/>
      <c r="M231" s="300"/>
    </row>
    <row r="232" spans="2:13" ht="18" customHeight="1" x14ac:dyDescent="0.3">
      <c r="B232" s="189"/>
      <c r="C232" s="185"/>
      <c r="D232" s="184"/>
      <c r="E232" s="186"/>
      <c r="F232" s="299"/>
      <c r="G232" s="299"/>
      <c r="H232" s="299"/>
      <c r="I232" s="299"/>
      <c r="J232" s="299"/>
      <c r="K232" s="299"/>
      <c r="L232" s="299"/>
      <c r="M232" s="300"/>
    </row>
    <row r="233" spans="2:13" ht="18" customHeight="1" x14ac:dyDescent="0.3">
      <c r="B233" s="189"/>
      <c r="C233" s="185"/>
      <c r="D233" s="184"/>
      <c r="E233" s="186"/>
      <c r="F233" s="299"/>
      <c r="G233" s="299"/>
      <c r="H233" s="299"/>
      <c r="I233" s="299"/>
      <c r="J233" s="299"/>
      <c r="K233" s="299"/>
      <c r="L233" s="299"/>
      <c r="M233" s="300"/>
    </row>
    <row r="234" spans="2:13" ht="18" customHeight="1" x14ac:dyDescent="0.3">
      <c r="B234" s="189"/>
      <c r="C234" s="185"/>
      <c r="D234" s="184"/>
      <c r="E234" s="186"/>
      <c r="F234" s="299"/>
      <c r="G234" s="299"/>
      <c r="H234" s="299"/>
      <c r="I234" s="299"/>
      <c r="J234" s="299"/>
      <c r="K234" s="299"/>
      <c r="L234" s="299"/>
      <c r="M234" s="300"/>
    </row>
    <row r="235" spans="2:13" ht="18" customHeight="1" x14ac:dyDescent="0.3">
      <c r="B235" s="189"/>
      <c r="C235" s="185"/>
      <c r="D235" s="184"/>
      <c r="E235" s="186"/>
      <c r="F235" s="299"/>
      <c r="G235" s="299"/>
      <c r="H235" s="299"/>
      <c r="I235" s="299"/>
      <c r="J235" s="299"/>
      <c r="K235" s="299"/>
      <c r="L235" s="299"/>
      <c r="M235" s="300"/>
    </row>
    <row r="236" spans="2:13" ht="18" customHeight="1" thickBot="1" x14ac:dyDescent="0.35">
      <c r="B236" s="187"/>
      <c r="C236" s="171"/>
      <c r="D236" s="172"/>
      <c r="E236" s="172"/>
      <c r="F236" s="339"/>
      <c r="G236" s="340"/>
      <c r="H236" s="340"/>
      <c r="I236" s="340"/>
      <c r="J236" s="340"/>
      <c r="K236" s="340"/>
      <c r="L236" s="340"/>
      <c r="M236" s="341"/>
    </row>
  </sheetData>
  <mergeCells count="233">
    <mergeCell ref="F236:M236"/>
    <mergeCell ref="F110:M110"/>
    <mergeCell ref="F137:M137"/>
    <mergeCell ref="F135:M135"/>
    <mergeCell ref="F139:M139"/>
    <mergeCell ref="F131:M131"/>
    <mergeCell ref="F130:M130"/>
    <mergeCell ref="F129:M129"/>
    <mergeCell ref="F121:M121"/>
    <mergeCell ref="F120:M120"/>
    <mergeCell ref="F111:M111"/>
    <mergeCell ref="F112:M112"/>
    <mergeCell ref="F122:M122"/>
    <mergeCell ref="F113:M113"/>
    <mergeCell ref="F118:M118"/>
    <mergeCell ref="F114:M114"/>
    <mergeCell ref="F115:M115"/>
    <mergeCell ref="F185:M185"/>
    <mergeCell ref="F188:M188"/>
    <mergeCell ref="F177:M177"/>
    <mergeCell ref="F174:M174"/>
    <mergeCell ref="F147:M147"/>
    <mergeCell ref="F148:M148"/>
    <mergeCell ref="F190:M190"/>
    <mergeCell ref="F163:M163"/>
    <mergeCell ref="F85:M85"/>
    <mergeCell ref="F82:M82"/>
    <mergeCell ref="F83:M83"/>
    <mergeCell ref="F123:M123"/>
    <mergeCell ref="F125:M125"/>
    <mergeCell ref="F124:M124"/>
    <mergeCell ref="F136:M136"/>
    <mergeCell ref="F134:M134"/>
    <mergeCell ref="F102:M102"/>
    <mergeCell ref="F127:M127"/>
    <mergeCell ref="F126:M126"/>
    <mergeCell ref="F96:M96"/>
    <mergeCell ref="F91:M91"/>
    <mergeCell ref="F90:M90"/>
    <mergeCell ref="F89:M89"/>
    <mergeCell ref="F93:M93"/>
    <mergeCell ref="F94:M94"/>
    <mergeCell ref="F84:M84"/>
    <mergeCell ref="F145:M145"/>
    <mergeCell ref="F98:M98"/>
    <mergeCell ref="F97:M97"/>
    <mergeCell ref="F138:M138"/>
    <mergeCell ref="F140:M140"/>
    <mergeCell ref="F38:M38"/>
    <mergeCell ref="F39:M39"/>
    <mergeCell ref="F116:M116"/>
    <mergeCell ref="F117:M117"/>
    <mergeCell ref="F119:M119"/>
    <mergeCell ref="F109:M109"/>
    <mergeCell ref="F88:M88"/>
    <mergeCell ref="F74:M74"/>
    <mergeCell ref="F87:M87"/>
    <mergeCell ref="F80:M80"/>
    <mergeCell ref="F75:M75"/>
    <mergeCell ref="F76:M76"/>
    <mergeCell ref="F108:M108"/>
    <mergeCell ref="F99:M99"/>
    <mergeCell ref="F104:M104"/>
    <mergeCell ref="F105:M105"/>
    <mergeCell ref="F106:M106"/>
    <mergeCell ref="F107:M107"/>
    <mergeCell ref="F103:M103"/>
    <mergeCell ref="F100:M100"/>
    <mergeCell ref="F101:M101"/>
    <mergeCell ref="F86:M86"/>
    <mergeCell ref="F45:M45"/>
    <mergeCell ref="F55:M55"/>
    <mergeCell ref="F37:M37"/>
    <mergeCell ref="B1:M1"/>
    <mergeCell ref="J3:K3"/>
    <mergeCell ref="L3:M3"/>
    <mergeCell ref="J4:K4"/>
    <mergeCell ref="L4:M4"/>
    <mergeCell ref="B3:I4"/>
    <mergeCell ref="B6:M6"/>
    <mergeCell ref="F14:M14"/>
    <mergeCell ref="F15:M15"/>
    <mergeCell ref="B11:M11"/>
    <mergeCell ref="F12:M12"/>
    <mergeCell ref="F13:M13"/>
    <mergeCell ref="F54:M54"/>
    <mergeCell ref="F155:M155"/>
    <mergeCell ref="F19:M19"/>
    <mergeCell ref="F16:M16"/>
    <mergeCell ref="F18:M18"/>
    <mergeCell ref="F17:M17"/>
    <mergeCell ref="F31:M31"/>
    <mergeCell ref="F32:M32"/>
    <mergeCell ref="F33:M33"/>
    <mergeCell ref="F34:M34"/>
    <mergeCell ref="F35:M35"/>
    <mergeCell ref="F26:M26"/>
    <mergeCell ref="F20:M20"/>
    <mergeCell ref="F21:M21"/>
    <mergeCell ref="F22:M22"/>
    <mergeCell ref="F23:M23"/>
    <mergeCell ref="F24:M24"/>
    <mergeCell ref="F25:M25"/>
    <mergeCell ref="F27:M27"/>
    <mergeCell ref="F28:M28"/>
    <mergeCell ref="F29:M29"/>
    <mergeCell ref="F30:M30"/>
    <mergeCell ref="F40:M40"/>
    <mergeCell ref="F36:M36"/>
    <mergeCell ref="F78:M78"/>
    <mergeCell ref="F149:M149"/>
    <mergeCell ref="F150:M150"/>
    <mergeCell ref="F57:M57"/>
    <mergeCell ref="F58:M58"/>
    <mergeCell ref="F49:M49"/>
    <mergeCell ref="F61:M61"/>
    <mergeCell ref="F64:M64"/>
    <mergeCell ref="F66:M66"/>
    <mergeCell ref="F53:M53"/>
    <mergeCell ref="F67:M67"/>
    <mergeCell ref="F68:M68"/>
    <mergeCell ref="F73:M73"/>
    <mergeCell ref="F70:M70"/>
    <mergeCell ref="F79:M79"/>
    <mergeCell ref="F62:M62"/>
    <mergeCell ref="F81:M81"/>
    <mergeCell ref="F63:M63"/>
    <mergeCell ref="F146:M146"/>
    <mergeCell ref="F128:M128"/>
    <mergeCell ref="F132:M132"/>
    <mergeCell ref="F133:M133"/>
    <mergeCell ref="F143:M143"/>
    <mergeCell ref="F144:M144"/>
    <mergeCell ref="F164:M164"/>
    <mergeCell ref="F165:M165"/>
    <mergeCell ref="F159:M159"/>
    <mergeCell ref="F173:M173"/>
    <mergeCell ref="F95:M95"/>
    <mergeCell ref="F92:M92"/>
    <mergeCell ref="F41:M41"/>
    <mergeCell ref="F42:M42"/>
    <mergeCell ref="F71:M71"/>
    <mergeCell ref="F46:M46"/>
    <mergeCell ref="F47:M47"/>
    <mergeCell ref="F48:M48"/>
    <mergeCell ref="F72:M72"/>
    <mergeCell ref="F50:M50"/>
    <mergeCell ref="F51:M51"/>
    <mergeCell ref="F69:M69"/>
    <mergeCell ref="F52:M52"/>
    <mergeCell ref="F59:M59"/>
    <mergeCell ref="F65:M65"/>
    <mergeCell ref="F60:M60"/>
    <mergeCell ref="F43:M43"/>
    <mergeCell ref="F44:M44"/>
    <mergeCell ref="F56:M56"/>
    <mergeCell ref="F77:M77"/>
    <mergeCell ref="F187:M187"/>
    <mergeCell ref="F191:M191"/>
    <mergeCell ref="F192:M192"/>
    <mergeCell ref="F193:M193"/>
    <mergeCell ref="F194:M194"/>
    <mergeCell ref="F195:M195"/>
    <mergeCell ref="F141:M141"/>
    <mergeCell ref="F142:M142"/>
    <mergeCell ref="F182:M182"/>
    <mergeCell ref="F181:M181"/>
    <mergeCell ref="F151:M151"/>
    <mergeCell ref="F152:M152"/>
    <mergeCell ref="F153:M153"/>
    <mergeCell ref="F154:M154"/>
    <mergeCell ref="F169:M169"/>
    <mergeCell ref="F170:M170"/>
    <mergeCell ref="F171:M171"/>
    <mergeCell ref="F156:M156"/>
    <mergeCell ref="F157:M157"/>
    <mergeCell ref="F158:M158"/>
    <mergeCell ref="F160:M160"/>
    <mergeCell ref="F161:M161"/>
    <mergeCell ref="F162:M162"/>
    <mergeCell ref="F178:M178"/>
    <mergeCell ref="F184:M184"/>
    <mergeCell ref="F186:M186"/>
    <mergeCell ref="F180:M180"/>
    <mergeCell ref="F183:M183"/>
    <mergeCell ref="F166:M166"/>
    <mergeCell ref="F167:M167"/>
    <mergeCell ref="F168:M168"/>
    <mergeCell ref="F175:M175"/>
    <mergeCell ref="F172:M172"/>
    <mergeCell ref="F179:M179"/>
    <mergeCell ref="F176:M176"/>
    <mergeCell ref="F189:M189"/>
    <mergeCell ref="F196:M196"/>
    <mergeCell ref="F206:M206"/>
    <mergeCell ref="F197:M197"/>
    <mergeCell ref="F198:M198"/>
    <mergeCell ref="F199:M199"/>
    <mergeCell ref="F200:M200"/>
    <mergeCell ref="F201:M201"/>
    <mergeCell ref="F202:M202"/>
    <mergeCell ref="F203:M203"/>
    <mergeCell ref="F204:M204"/>
    <mergeCell ref="F205:M205"/>
    <mergeCell ref="F222:M222"/>
    <mergeCell ref="F207:M207"/>
    <mergeCell ref="F208:M208"/>
    <mergeCell ref="F209:M209"/>
    <mergeCell ref="F210:M210"/>
    <mergeCell ref="F211:M211"/>
    <mergeCell ref="F212:M212"/>
    <mergeCell ref="F213:M213"/>
    <mergeCell ref="F217:M217"/>
    <mergeCell ref="F214:M214"/>
    <mergeCell ref="F215:M215"/>
    <mergeCell ref="F216:M216"/>
    <mergeCell ref="F218:M218"/>
    <mergeCell ref="F219:M219"/>
    <mergeCell ref="F220:M220"/>
    <mergeCell ref="F221:M221"/>
    <mergeCell ref="F232:M232"/>
    <mergeCell ref="F233:M233"/>
    <mergeCell ref="F234:M234"/>
    <mergeCell ref="F235:M235"/>
    <mergeCell ref="F223:M223"/>
    <mergeCell ref="F224:M224"/>
    <mergeCell ref="F225:M225"/>
    <mergeCell ref="F226:M226"/>
    <mergeCell ref="F227:M227"/>
    <mergeCell ref="F228:M228"/>
    <mergeCell ref="F229:M229"/>
    <mergeCell ref="F230:M230"/>
    <mergeCell ref="F231:M231"/>
  </mergeCells>
  <phoneticPr fontId="2" type="noConversion"/>
  <pageMargins left="0.25" right="0.25" top="0.75" bottom="0.75" header="0.3" footer="0.3"/>
  <pageSetup paperSize="9" scale="67" orientation="portrait" r:id="rId1"/>
  <headerFooter>
    <oddHeader>&amp;L
&amp;8&amp;F&amp;R
&amp;"-,굵게"&amp;9대외비</oddHeader>
    <oddFooter>&amp;L&amp;"-,굵게"&amp;K09+000G&amp;K01+000ame&amp;K09+000D&amp;K01+000ex&amp;C&amp;7본 문서의 내용은 {㈜게임덱스} 의 자산으로 사전동의 없이 복제, 편집, 임의 배포할 수 없습니다. 
Copyright ⓒ GAMEDEX Co., Ltd. All Rights Reserved &amp;R&amp;8&amp;P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1:U178"/>
  <sheetViews>
    <sheetView showGridLines="0" tabSelected="1" zoomScale="90" zoomScaleNormal="90" workbookViewId="0">
      <pane ySplit="14" topLeftCell="A100" activePane="bottomLeft" state="frozen"/>
      <selection pane="bottomLeft" activeCell="E174" sqref="E174"/>
    </sheetView>
  </sheetViews>
  <sheetFormatPr defaultRowHeight="12" x14ac:dyDescent="0.3"/>
  <cols>
    <col min="1" max="1" width="1.25" style="15" customWidth="1"/>
    <col min="2" max="2" width="12.375" style="15" customWidth="1"/>
    <col min="3" max="4" width="12.375" style="16" customWidth="1"/>
    <col min="5" max="5" width="12.375" style="15" customWidth="1"/>
    <col min="6" max="6" width="26.25" style="15" customWidth="1"/>
    <col min="7" max="7" width="11.875" style="15" customWidth="1"/>
    <col min="8" max="8" width="25.25" style="15" customWidth="1"/>
    <col min="9" max="9" width="28.25" style="205" customWidth="1"/>
    <col min="10" max="10" width="28.25" style="15" customWidth="1"/>
    <col min="11" max="11" width="9.625" style="15" customWidth="1"/>
    <col min="12" max="12" width="10.625" style="15" customWidth="1"/>
    <col min="13" max="13" width="9.625" style="15" customWidth="1"/>
    <col min="14" max="14" width="13.75" style="15" customWidth="1"/>
    <col min="15" max="15" width="9.625" style="16" customWidth="1"/>
    <col min="16" max="17" width="12.375" style="16" customWidth="1"/>
    <col min="18" max="18" width="31.5" style="16" customWidth="1"/>
    <col min="19" max="19" width="39.25" style="15" customWidth="1"/>
    <col min="20" max="16384" width="9" style="15"/>
  </cols>
  <sheetData>
    <row r="1" spans="2:19" ht="7.5" customHeight="1" thickBot="1" x14ac:dyDescent="0.35"/>
    <row r="2" spans="2:19" ht="18.75" customHeight="1" x14ac:dyDescent="0.3">
      <c r="B2" s="354" t="s">
        <v>447</v>
      </c>
      <c r="C2" s="355"/>
      <c r="D2" s="355"/>
      <c r="E2" s="355"/>
      <c r="F2" s="355"/>
      <c r="G2" s="355"/>
      <c r="H2" s="355"/>
      <c r="I2" s="356"/>
      <c r="J2" s="355"/>
      <c r="K2" s="355"/>
      <c r="L2" s="355"/>
      <c r="M2" s="355"/>
      <c r="N2" s="355"/>
      <c r="O2" s="355"/>
      <c r="P2" s="355"/>
      <c r="Q2" s="355"/>
      <c r="R2" s="355"/>
      <c r="S2" s="355"/>
    </row>
    <row r="3" spans="2:19" ht="18.75" customHeight="1" thickBot="1" x14ac:dyDescent="0.35">
      <c r="B3" s="357"/>
      <c r="C3" s="358"/>
      <c r="D3" s="358"/>
      <c r="E3" s="358"/>
      <c r="F3" s="358"/>
      <c r="G3" s="358"/>
      <c r="H3" s="358"/>
      <c r="I3" s="359"/>
      <c r="J3" s="358"/>
      <c r="K3" s="358"/>
      <c r="L3" s="358"/>
      <c r="M3" s="358"/>
      <c r="N3" s="358"/>
      <c r="O3" s="358"/>
      <c r="P3" s="358"/>
      <c r="Q3" s="358"/>
      <c r="R3" s="358"/>
      <c r="S3" s="358"/>
    </row>
    <row r="4" spans="2:19" s="18" customFormat="1" ht="18.75" customHeight="1" thickBot="1" x14ac:dyDescent="0.35">
      <c r="B4" s="17"/>
      <c r="C4" s="17"/>
      <c r="D4" s="17"/>
      <c r="E4" s="17"/>
      <c r="F4" s="17"/>
      <c r="G4" s="17"/>
      <c r="H4" s="17"/>
      <c r="I4" s="206"/>
      <c r="J4" s="17"/>
      <c r="K4" s="17"/>
      <c r="L4" s="17"/>
      <c r="M4" s="17"/>
      <c r="N4" s="17"/>
      <c r="O4" s="17"/>
      <c r="P4" s="17"/>
      <c r="Q4" s="17"/>
      <c r="R4" s="17"/>
      <c r="S4" s="17"/>
    </row>
    <row r="5" spans="2:19" s="18" customFormat="1" ht="18.75" customHeight="1" x14ac:dyDescent="0.3">
      <c r="B5" s="360" t="s">
        <v>448</v>
      </c>
      <c r="C5" s="362" t="s">
        <v>449</v>
      </c>
      <c r="D5" s="364" t="s">
        <v>450</v>
      </c>
      <c r="E5" s="365"/>
      <c r="F5" s="25"/>
      <c r="G5" s="25"/>
      <c r="H5" s="25"/>
      <c r="I5" s="207"/>
      <c r="J5" s="25"/>
      <c r="K5" s="25"/>
      <c r="L5" s="25"/>
      <c r="M5" s="25"/>
      <c r="N5" s="25"/>
      <c r="O5" s="25"/>
      <c r="P5" s="25"/>
      <c r="Q5" s="25"/>
      <c r="R5" s="25"/>
      <c r="S5" s="25"/>
    </row>
    <row r="6" spans="2:19" s="18" customFormat="1" ht="18.75" customHeight="1" x14ac:dyDescent="0.3">
      <c r="B6" s="361"/>
      <c r="C6" s="363"/>
      <c r="D6" s="33" t="s">
        <v>451</v>
      </c>
      <c r="E6" s="34" t="s">
        <v>452</v>
      </c>
      <c r="F6" s="25"/>
      <c r="G6" s="25"/>
      <c r="H6" s="25"/>
      <c r="I6" s="207"/>
      <c r="J6" s="25"/>
      <c r="K6" s="25"/>
      <c r="L6" s="25"/>
      <c r="M6" s="25"/>
      <c r="N6" s="25"/>
      <c r="O6" s="25"/>
      <c r="P6" s="25"/>
      <c r="Q6" s="25"/>
      <c r="R6" s="25"/>
      <c r="S6" s="25"/>
    </row>
    <row r="7" spans="2:19" s="18" customFormat="1" ht="18.75" customHeight="1" x14ac:dyDescent="0.3">
      <c r="B7" s="366" t="str">
        <f>"Android
("&amp;SUM(D7:E9)&amp;"대)"</f>
        <v>Android
(101대)</v>
      </c>
      <c r="C7" s="27" t="s">
        <v>453</v>
      </c>
      <c r="D7" s="29">
        <f>COUNTIFS($C$15:$C$1074,"정상",$B$15:$B$1074,"GD_A*",$D$15:$D$1074,"Phone")</f>
        <v>83</v>
      </c>
      <c r="E7" s="28">
        <f>COUNTIFS($C$15:$C$1074,"정상",$B$15:$B$1074,"GD_A*",$D$15:$D$1074,"Pad")</f>
        <v>4</v>
      </c>
      <c r="F7" s="25"/>
      <c r="G7" s="25"/>
      <c r="H7" s="25"/>
      <c r="I7" s="207"/>
      <c r="J7" s="25"/>
      <c r="K7" s="25"/>
      <c r="L7" s="25"/>
      <c r="M7" s="25"/>
      <c r="N7" s="25"/>
      <c r="O7" s="25"/>
      <c r="P7" s="25"/>
      <c r="Q7" s="25"/>
      <c r="R7" s="25"/>
      <c r="S7" s="25"/>
    </row>
    <row r="8" spans="2:19" s="18" customFormat="1" ht="18.75" customHeight="1" x14ac:dyDescent="0.3">
      <c r="B8" s="367"/>
      <c r="C8" s="30" t="s">
        <v>454</v>
      </c>
      <c r="D8" s="35">
        <f>COUNTIFS($C$15:$C$1074,"폐기",$B$15:$B$1074,"GD_A*",$D$15:$D$1074,"Phone")</f>
        <v>11</v>
      </c>
      <c r="E8" s="36">
        <f>COUNTIFS($C$15:$C$1074,"폐기",$B$15:$B$1074,"GD_A*",$D$15:$D$1074,"Pad")</f>
        <v>3</v>
      </c>
      <c r="F8" s="25"/>
      <c r="G8" s="25"/>
      <c r="H8" s="25"/>
      <c r="I8" s="207"/>
      <c r="J8" s="25"/>
      <c r="K8" s="25"/>
      <c r="L8" s="25"/>
      <c r="M8" s="25"/>
      <c r="N8" s="25"/>
      <c r="O8" s="25"/>
      <c r="P8" s="25"/>
      <c r="Q8" s="25"/>
      <c r="R8" s="25"/>
      <c r="S8" s="25"/>
    </row>
    <row r="9" spans="2:19" s="18" customFormat="1" ht="18.75" customHeight="1" x14ac:dyDescent="0.3">
      <c r="B9" s="361"/>
      <c r="C9" s="30" t="s">
        <v>455</v>
      </c>
      <c r="D9" s="35">
        <f>COUNTIFS($C$15:$C$1074,"대여",$B$15:$B$1074,"GD_A*",$D$15:$D$1074,"Phone")</f>
        <v>0</v>
      </c>
      <c r="E9" s="36">
        <f>COUNTIFS($C$15:$C$1074,"대여",$B$15:$B$1074,"GD_A*",$D$15:$D$1074,"Pad")</f>
        <v>0</v>
      </c>
      <c r="F9" s="25"/>
      <c r="G9" s="25"/>
      <c r="H9" s="25"/>
      <c r="I9" s="207"/>
      <c r="J9" s="25"/>
      <c r="K9" s="25"/>
      <c r="L9" s="25"/>
      <c r="M9" s="25"/>
      <c r="N9" s="25"/>
      <c r="O9" s="25"/>
      <c r="P9" s="25"/>
      <c r="Q9" s="25"/>
      <c r="R9" s="25"/>
      <c r="S9" s="25"/>
    </row>
    <row r="10" spans="2:19" s="18" customFormat="1" ht="18.75" customHeight="1" x14ac:dyDescent="0.3">
      <c r="B10" s="351" t="str">
        <f>"iOS 
("&amp;SUM(D10:E12)&amp;"대)"</f>
        <v>iOS 
(48대)</v>
      </c>
      <c r="C10" s="30" t="s">
        <v>453</v>
      </c>
      <c r="D10" s="31">
        <f>COUNTIFS($C$15:$C$1074,"정상",$B$15:$B$1074,"GD_i*",$D$15:$D$1074,"Phone")</f>
        <v>34</v>
      </c>
      <c r="E10" s="32">
        <f>COUNTIFS($C$15:$C$1074,"정상",$B$15:$B$1074,"GD_i*",$D$15:$D$1074,"Pad")</f>
        <v>9</v>
      </c>
      <c r="F10" s="25"/>
      <c r="G10" s="25"/>
      <c r="H10" s="25"/>
      <c r="I10" s="207"/>
      <c r="J10" s="25"/>
      <c r="K10" s="25"/>
      <c r="L10" s="25"/>
      <c r="M10" s="25"/>
      <c r="N10" s="25"/>
      <c r="O10" s="25"/>
      <c r="P10" s="25"/>
      <c r="Q10" s="25"/>
      <c r="R10" s="25"/>
      <c r="S10" s="25"/>
    </row>
    <row r="11" spans="2:19" s="18" customFormat="1" ht="18.75" customHeight="1" x14ac:dyDescent="0.3">
      <c r="B11" s="352"/>
      <c r="C11" s="219" t="s">
        <v>454</v>
      </c>
      <c r="D11" s="220">
        <f>COUNTIFS($C$15:$C$1074,"폐기",$B$15:$B$1074,"GD_i*",$D$15:$D$1074,"Phone")</f>
        <v>2</v>
      </c>
      <c r="E11" s="221">
        <f>COUNTIFS($C$15:$C$1074,"폐기",$B$15:$B$1074,"GD_i*",$D$15:$D$1074,"Pad")</f>
        <v>1</v>
      </c>
      <c r="F11" s="25"/>
      <c r="G11" s="25"/>
      <c r="H11" s="39" t="s">
        <v>456</v>
      </c>
      <c r="I11" s="207"/>
      <c r="J11" s="25"/>
      <c r="K11" s="25"/>
      <c r="L11" s="25"/>
      <c r="M11" s="25"/>
      <c r="N11" s="25"/>
      <c r="O11" s="25"/>
      <c r="P11" s="25"/>
      <c r="Q11" s="25"/>
      <c r="R11" s="25"/>
      <c r="S11" s="25"/>
    </row>
    <row r="12" spans="2:19" s="18" customFormat="1" ht="18.75" customHeight="1" thickBot="1" x14ac:dyDescent="0.35">
      <c r="B12" s="353"/>
      <c r="C12" s="216" t="s">
        <v>455</v>
      </c>
      <c r="D12" s="217">
        <f>COUNTIFS($C$15:$C$1074,"대여",$B$15:$B$1074,"GD_i*",$D$15:$D$1074,"Phone")</f>
        <v>2</v>
      </c>
      <c r="E12" s="218">
        <f>COUNTIFS($C$15:$C$1074,"대여",$B$15:$B$1074,"GD_i*",$D$15:$D$1074,"Pad")</f>
        <v>0</v>
      </c>
      <c r="F12" s="25"/>
      <c r="G12" s="25"/>
      <c r="H12" s="39" t="s">
        <v>456</v>
      </c>
      <c r="I12" s="207"/>
      <c r="J12" s="25"/>
      <c r="K12" s="25"/>
      <c r="L12" s="25"/>
      <c r="M12" s="25"/>
      <c r="N12" s="25"/>
      <c r="O12" s="25"/>
      <c r="P12" s="25"/>
      <c r="Q12" s="25"/>
      <c r="R12" s="25"/>
      <c r="S12" s="25"/>
    </row>
    <row r="13" spans="2:19" s="18" customFormat="1" ht="18.75" customHeight="1" thickBot="1" x14ac:dyDescent="0.35">
      <c r="B13" s="26"/>
      <c r="C13" s="26"/>
      <c r="D13" s="26"/>
      <c r="E13" s="26"/>
      <c r="F13" s="26"/>
      <c r="G13" s="26"/>
      <c r="H13" s="26"/>
      <c r="I13" s="208"/>
      <c r="J13" s="26"/>
      <c r="K13" s="26"/>
      <c r="L13" s="26"/>
      <c r="M13" s="26"/>
      <c r="N13" s="26"/>
      <c r="O13" s="26"/>
      <c r="P13" s="26"/>
      <c r="Q13" s="26"/>
      <c r="R13" s="26"/>
    </row>
    <row r="14" spans="2:19" ht="36" customHeight="1" x14ac:dyDescent="0.3">
      <c r="B14" s="98" t="s">
        <v>457</v>
      </c>
      <c r="C14" s="99" t="s">
        <v>449</v>
      </c>
      <c r="D14" s="99" t="s">
        <v>448</v>
      </c>
      <c r="E14" s="100" t="s">
        <v>458</v>
      </c>
      <c r="F14" s="100" t="s">
        <v>459</v>
      </c>
      <c r="G14" s="100" t="s">
        <v>460</v>
      </c>
      <c r="H14" s="100" t="s">
        <v>461</v>
      </c>
      <c r="I14" s="209" t="s">
        <v>462</v>
      </c>
      <c r="J14" s="100" t="s">
        <v>463</v>
      </c>
      <c r="K14" s="100" t="s">
        <v>464</v>
      </c>
      <c r="L14" s="100" t="s">
        <v>465</v>
      </c>
      <c r="M14" s="100" t="s">
        <v>466</v>
      </c>
      <c r="N14" s="100" t="s">
        <v>467</v>
      </c>
      <c r="O14" s="99" t="s">
        <v>468</v>
      </c>
      <c r="P14" s="99" t="s">
        <v>469</v>
      </c>
      <c r="Q14" s="99" t="s">
        <v>470</v>
      </c>
      <c r="R14" s="99" t="s">
        <v>471</v>
      </c>
      <c r="S14" s="101" t="s">
        <v>472</v>
      </c>
    </row>
    <row r="15" spans="2:19" s="18" customFormat="1" ht="78.75" customHeight="1" x14ac:dyDescent="0.3">
      <c r="B15" s="102" t="s">
        <v>473</v>
      </c>
      <c r="C15" s="68" t="s">
        <v>453</v>
      </c>
      <c r="D15" s="68" t="s">
        <v>451</v>
      </c>
      <c r="E15" s="69" t="s">
        <v>474</v>
      </c>
      <c r="F15" s="69" t="s">
        <v>475</v>
      </c>
      <c r="G15" s="69" t="s">
        <v>476</v>
      </c>
      <c r="H15" s="70" t="s">
        <v>477</v>
      </c>
      <c r="I15" s="74" t="s">
        <v>478</v>
      </c>
      <c r="J15" s="71" t="s">
        <v>479</v>
      </c>
      <c r="K15" s="71" t="s">
        <v>480</v>
      </c>
      <c r="L15" s="71">
        <v>4</v>
      </c>
      <c r="M15" s="71" t="s">
        <v>481</v>
      </c>
      <c r="N15" s="71" t="s">
        <v>482</v>
      </c>
      <c r="O15" s="68"/>
      <c r="P15" s="158" t="s">
        <v>483</v>
      </c>
      <c r="Q15" s="158"/>
      <c r="R15" s="68" t="s">
        <v>484</v>
      </c>
      <c r="S15" s="103"/>
    </row>
    <row r="16" spans="2:19" s="18" customFormat="1" ht="78.75" hidden="1" customHeight="1" x14ac:dyDescent="0.3">
      <c r="B16" s="119" t="s">
        <v>485</v>
      </c>
      <c r="C16" s="120" t="s">
        <v>486</v>
      </c>
      <c r="D16" s="120" t="s">
        <v>451</v>
      </c>
      <c r="E16" s="121" t="s">
        <v>474</v>
      </c>
      <c r="F16" s="147" t="s">
        <v>487</v>
      </c>
      <c r="G16" s="147" t="s">
        <v>488</v>
      </c>
      <c r="H16" s="147" t="s">
        <v>489</v>
      </c>
      <c r="I16" s="147" t="s">
        <v>490</v>
      </c>
      <c r="J16" s="147" t="s">
        <v>491</v>
      </c>
      <c r="K16" s="147" t="s">
        <v>492</v>
      </c>
      <c r="L16" s="147">
        <v>4</v>
      </c>
      <c r="M16" s="124" t="s">
        <v>493</v>
      </c>
      <c r="N16" s="124" t="s">
        <v>494</v>
      </c>
      <c r="O16" s="120" t="s">
        <v>495</v>
      </c>
      <c r="P16" s="120" t="s">
        <v>496</v>
      </c>
      <c r="Q16" s="120"/>
      <c r="R16" s="120"/>
      <c r="S16" s="127"/>
    </row>
    <row r="17" spans="2:19" s="18" customFormat="1" ht="78.75" customHeight="1" x14ac:dyDescent="0.3">
      <c r="B17" s="104" t="s">
        <v>497</v>
      </c>
      <c r="C17" s="68" t="s">
        <v>453</v>
      </c>
      <c r="D17" s="68" t="s">
        <v>451</v>
      </c>
      <c r="E17" s="69" t="s">
        <v>498</v>
      </c>
      <c r="F17" s="69" t="s">
        <v>499</v>
      </c>
      <c r="G17" s="69" t="s">
        <v>500</v>
      </c>
      <c r="H17" s="74" t="s">
        <v>501</v>
      </c>
      <c r="I17" s="74" t="s">
        <v>502</v>
      </c>
      <c r="J17" s="71" t="s">
        <v>503</v>
      </c>
      <c r="K17" s="71" t="s">
        <v>504</v>
      </c>
      <c r="L17" s="71">
        <v>4</v>
      </c>
      <c r="M17" s="71" t="s">
        <v>505</v>
      </c>
      <c r="N17" s="73" t="s">
        <v>494</v>
      </c>
      <c r="O17" s="68" t="s">
        <v>506</v>
      </c>
      <c r="P17" s="158" t="s">
        <v>483</v>
      </c>
      <c r="Q17" s="158">
        <v>45490</v>
      </c>
      <c r="R17" s="68"/>
      <c r="S17" s="103"/>
    </row>
    <row r="18" spans="2:19" s="18" customFormat="1" ht="78.75" hidden="1" customHeight="1" x14ac:dyDescent="0.3">
      <c r="B18" s="119" t="s">
        <v>507</v>
      </c>
      <c r="C18" s="120" t="s">
        <v>486</v>
      </c>
      <c r="D18" s="120" t="s">
        <v>452</v>
      </c>
      <c r="E18" s="121" t="s">
        <v>474</v>
      </c>
      <c r="F18" s="121" t="s">
        <v>508</v>
      </c>
      <c r="G18" s="121" t="s">
        <v>509</v>
      </c>
      <c r="H18" s="210" t="s">
        <v>510</v>
      </c>
      <c r="I18" s="122" t="s">
        <v>511</v>
      </c>
      <c r="J18" s="123" t="s">
        <v>512</v>
      </c>
      <c r="K18" s="123" t="s">
        <v>504</v>
      </c>
      <c r="L18" s="147">
        <v>4</v>
      </c>
      <c r="M18" s="123" t="s">
        <v>513</v>
      </c>
      <c r="N18" s="124" t="s">
        <v>514</v>
      </c>
      <c r="O18" s="120" t="s">
        <v>515</v>
      </c>
      <c r="P18" s="120" t="s">
        <v>496</v>
      </c>
      <c r="Q18" s="120" t="s">
        <v>516</v>
      </c>
      <c r="R18" s="126" t="s">
        <v>517</v>
      </c>
      <c r="S18" s="127"/>
    </row>
    <row r="19" spans="2:19" s="18" customFormat="1" ht="78.75" customHeight="1" x14ac:dyDescent="0.3">
      <c r="B19" s="104" t="s">
        <v>518</v>
      </c>
      <c r="C19" s="68" t="s">
        <v>453</v>
      </c>
      <c r="D19" s="68" t="s">
        <v>451</v>
      </c>
      <c r="E19" s="69" t="s">
        <v>474</v>
      </c>
      <c r="F19" s="69" t="s">
        <v>519</v>
      </c>
      <c r="G19" s="69" t="s">
        <v>520</v>
      </c>
      <c r="H19" s="73" t="s">
        <v>521</v>
      </c>
      <c r="I19" s="74" t="s">
        <v>522</v>
      </c>
      <c r="J19" s="71" t="s">
        <v>523</v>
      </c>
      <c r="K19" s="71" t="s">
        <v>504</v>
      </c>
      <c r="L19" s="71">
        <v>4.0999999999999996</v>
      </c>
      <c r="M19" s="73" t="s">
        <v>524</v>
      </c>
      <c r="N19" s="73" t="s">
        <v>525</v>
      </c>
      <c r="O19" s="68" t="s">
        <v>526</v>
      </c>
      <c r="P19" s="158">
        <v>43224</v>
      </c>
      <c r="Q19" s="158">
        <v>45490</v>
      </c>
      <c r="R19" s="68"/>
      <c r="S19" s="103"/>
    </row>
    <row r="20" spans="2:19" s="18" customFormat="1" ht="78.75" customHeight="1" x14ac:dyDescent="0.3">
      <c r="B20" s="105" t="s">
        <v>527</v>
      </c>
      <c r="C20" s="79" t="s">
        <v>453</v>
      </c>
      <c r="D20" s="79" t="s">
        <v>451</v>
      </c>
      <c r="E20" s="78" t="s">
        <v>474</v>
      </c>
      <c r="F20" s="69" t="s">
        <v>519</v>
      </c>
      <c r="G20" s="78" t="s">
        <v>528</v>
      </c>
      <c r="H20" s="128" t="s">
        <v>529</v>
      </c>
      <c r="I20" s="129" t="s">
        <v>522</v>
      </c>
      <c r="J20" s="130" t="s">
        <v>523</v>
      </c>
      <c r="K20" s="130" t="s">
        <v>504</v>
      </c>
      <c r="L20" s="130">
        <v>4.0999999999999996</v>
      </c>
      <c r="M20" s="128" t="s">
        <v>524</v>
      </c>
      <c r="N20" s="128" t="s">
        <v>525</v>
      </c>
      <c r="O20" s="79" t="s">
        <v>526</v>
      </c>
      <c r="P20" s="159">
        <v>43224</v>
      </c>
      <c r="Q20" s="158">
        <v>45490</v>
      </c>
      <c r="R20" s="79"/>
      <c r="S20" s="106"/>
    </row>
    <row r="21" spans="2:19" s="18" customFormat="1" ht="78.75" hidden="1" customHeight="1" x14ac:dyDescent="0.3">
      <c r="B21" s="119" t="s">
        <v>530</v>
      </c>
      <c r="C21" s="120" t="s">
        <v>486</v>
      </c>
      <c r="D21" s="120" t="s">
        <v>451</v>
      </c>
      <c r="E21" s="121" t="s">
        <v>531</v>
      </c>
      <c r="F21" s="121" t="s">
        <v>532</v>
      </c>
      <c r="G21" s="121" t="s">
        <v>533</v>
      </c>
      <c r="H21" s="210" t="s">
        <v>534</v>
      </c>
      <c r="I21" s="124" t="s">
        <v>535</v>
      </c>
      <c r="J21" s="123" t="s">
        <v>536</v>
      </c>
      <c r="K21" s="124" t="s">
        <v>504</v>
      </c>
      <c r="L21" s="123">
        <v>4.0999999999999996</v>
      </c>
      <c r="M21" s="124" t="s">
        <v>537</v>
      </c>
      <c r="N21" s="124" t="s">
        <v>525</v>
      </c>
      <c r="O21" s="150" t="s">
        <v>538</v>
      </c>
      <c r="P21" s="120" t="s">
        <v>496</v>
      </c>
      <c r="Q21" s="120"/>
      <c r="R21" s="120"/>
      <c r="S21" s="127"/>
    </row>
    <row r="22" spans="2:19" s="18" customFormat="1" ht="78.75" customHeight="1" x14ac:dyDescent="0.3">
      <c r="B22" s="104" t="s">
        <v>539</v>
      </c>
      <c r="C22" s="68" t="s">
        <v>453</v>
      </c>
      <c r="D22" s="68" t="s">
        <v>451</v>
      </c>
      <c r="E22" s="69" t="s">
        <v>474</v>
      </c>
      <c r="F22" s="69" t="s">
        <v>540</v>
      </c>
      <c r="G22" s="69" t="s">
        <v>541</v>
      </c>
      <c r="H22" s="73" t="s">
        <v>542</v>
      </c>
      <c r="I22" s="73" t="s">
        <v>543</v>
      </c>
      <c r="J22" s="73" t="s">
        <v>544</v>
      </c>
      <c r="K22" s="73" t="s">
        <v>504</v>
      </c>
      <c r="L22" s="73">
        <v>4.0999999999999996</v>
      </c>
      <c r="M22" s="73" t="s">
        <v>545</v>
      </c>
      <c r="N22" s="73" t="s">
        <v>525</v>
      </c>
      <c r="O22" s="79" t="s">
        <v>2723</v>
      </c>
      <c r="P22" s="158">
        <v>43224</v>
      </c>
      <c r="Q22" s="158">
        <v>46198</v>
      </c>
      <c r="R22" s="68"/>
      <c r="S22" s="103"/>
    </row>
    <row r="23" spans="2:19" s="18" customFormat="1" ht="78.75" hidden="1" customHeight="1" x14ac:dyDescent="0.3">
      <c r="B23" s="105" t="s">
        <v>546</v>
      </c>
      <c r="C23" s="79" t="s">
        <v>486</v>
      </c>
      <c r="D23" s="79" t="s">
        <v>451</v>
      </c>
      <c r="E23" s="78" t="s">
        <v>474</v>
      </c>
      <c r="F23" s="78" t="s">
        <v>547</v>
      </c>
      <c r="G23" s="78" t="s">
        <v>548</v>
      </c>
      <c r="H23" s="128" t="s">
        <v>542</v>
      </c>
      <c r="I23" s="128" t="s">
        <v>543</v>
      </c>
      <c r="J23" s="128" t="s">
        <v>549</v>
      </c>
      <c r="K23" s="128" t="s">
        <v>550</v>
      </c>
      <c r="L23" s="128">
        <v>4.2</v>
      </c>
      <c r="M23" s="128" t="s">
        <v>524</v>
      </c>
      <c r="N23" s="128" t="s">
        <v>525</v>
      </c>
      <c r="O23" s="79" t="s">
        <v>2723</v>
      </c>
      <c r="P23" s="159">
        <v>43224</v>
      </c>
      <c r="Q23" s="158">
        <v>46198</v>
      </c>
      <c r="R23" s="79"/>
      <c r="S23" s="106"/>
    </row>
    <row r="24" spans="2:19" s="18" customFormat="1" ht="78.75" customHeight="1" x14ac:dyDescent="0.3">
      <c r="B24" s="104" t="s">
        <v>551</v>
      </c>
      <c r="C24" s="68" t="s">
        <v>453</v>
      </c>
      <c r="D24" s="68" t="s">
        <v>451</v>
      </c>
      <c r="E24" s="69" t="s">
        <v>552</v>
      </c>
      <c r="F24" s="69" t="s">
        <v>553</v>
      </c>
      <c r="G24" s="69" t="s">
        <v>554</v>
      </c>
      <c r="H24" s="73" t="s">
        <v>555</v>
      </c>
      <c r="I24" s="73" t="s">
        <v>556</v>
      </c>
      <c r="J24" s="72" t="s">
        <v>557</v>
      </c>
      <c r="K24" s="73" t="s">
        <v>558</v>
      </c>
      <c r="L24" s="75">
        <v>4</v>
      </c>
      <c r="M24" s="73" t="s">
        <v>537</v>
      </c>
      <c r="N24" s="73" t="s">
        <v>494</v>
      </c>
      <c r="O24" s="68" t="s">
        <v>515</v>
      </c>
      <c r="P24" s="158">
        <v>43224</v>
      </c>
      <c r="Q24" s="158">
        <v>45490</v>
      </c>
      <c r="R24" s="68"/>
      <c r="S24" s="103"/>
    </row>
    <row r="25" spans="2:19" s="18" customFormat="1" ht="78.75" customHeight="1" x14ac:dyDescent="0.3">
      <c r="B25" s="104" t="s">
        <v>559</v>
      </c>
      <c r="C25" s="68" t="s">
        <v>453</v>
      </c>
      <c r="D25" s="68" t="s">
        <v>451</v>
      </c>
      <c r="E25" s="69" t="s">
        <v>560</v>
      </c>
      <c r="F25" s="69" t="s">
        <v>561</v>
      </c>
      <c r="G25" s="69" t="s">
        <v>562</v>
      </c>
      <c r="H25" s="72" t="s">
        <v>563</v>
      </c>
      <c r="I25" s="72" t="s">
        <v>564</v>
      </c>
      <c r="J25" s="72" t="s">
        <v>565</v>
      </c>
      <c r="K25" s="72" t="s">
        <v>566</v>
      </c>
      <c r="L25" s="72">
        <v>4.2</v>
      </c>
      <c r="M25" s="73" t="s">
        <v>567</v>
      </c>
      <c r="N25" s="73" t="s">
        <v>494</v>
      </c>
      <c r="O25" s="68" t="s">
        <v>568</v>
      </c>
      <c r="P25" s="158">
        <v>43224</v>
      </c>
      <c r="Q25" s="158">
        <v>45490</v>
      </c>
      <c r="R25" s="68"/>
      <c r="S25" s="103"/>
    </row>
    <row r="26" spans="2:19" s="18" customFormat="1" ht="78.75" customHeight="1" x14ac:dyDescent="0.3">
      <c r="B26" s="104" t="s">
        <v>569</v>
      </c>
      <c r="C26" s="68" t="s">
        <v>453</v>
      </c>
      <c r="D26" s="68" t="s">
        <v>451</v>
      </c>
      <c r="E26" s="69" t="s">
        <v>474</v>
      </c>
      <c r="F26" s="69" t="s">
        <v>570</v>
      </c>
      <c r="G26" s="69" t="s">
        <v>571</v>
      </c>
      <c r="H26" s="72" t="s">
        <v>572</v>
      </c>
      <c r="I26" s="72" t="s">
        <v>573</v>
      </c>
      <c r="J26" s="72" t="s">
        <v>574</v>
      </c>
      <c r="K26" s="72" t="s">
        <v>504</v>
      </c>
      <c r="L26" s="72">
        <v>4.0999999999999996</v>
      </c>
      <c r="M26" s="73" t="s">
        <v>575</v>
      </c>
      <c r="N26" s="73" t="s">
        <v>494</v>
      </c>
      <c r="O26" s="68" t="s">
        <v>576</v>
      </c>
      <c r="P26" s="158">
        <v>43224</v>
      </c>
      <c r="Q26" s="158">
        <v>45490</v>
      </c>
      <c r="R26" s="68"/>
      <c r="S26" s="103"/>
    </row>
    <row r="27" spans="2:19" s="18" customFormat="1" ht="78.75" hidden="1" customHeight="1" x14ac:dyDescent="0.3">
      <c r="B27" s="119" t="s">
        <v>577</v>
      </c>
      <c r="C27" s="120" t="s">
        <v>486</v>
      </c>
      <c r="D27" s="120" t="s">
        <v>451</v>
      </c>
      <c r="E27" s="121" t="s">
        <v>474</v>
      </c>
      <c r="F27" s="121" t="s">
        <v>578</v>
      </c>
      <c r="G27" s="121"/>
      <c r="H27" s="147" t="s">
        <v>579</v>
      </c>
      <c r="I27" s="147" t="s">
        <v>580</v>
      </c>
      <c r="J27" s="147" t="s">
        <v>581</v>
      </c>
      <c r="K27" s="147" t="s">
        <v>582</v>
      </c>
      <c r="L27" s="147">
        <v>4.2</v>
      </c>
      <c r="M27" s="124" t="s">
        <v>583</v>
      </c>
      <c r="N27" s="124" t="s">
        <v>525</v>
      </c>
      <c r="O27" s="120" t="s">
        <v>495</v>
      </c>
      <c r="P27" s="120" t="s">
        <v>496</v>
      </c>
      <c r="Q27" s="120"/>
      <c r="R27" s="120"/>
      <c r="S27" s="127"/>
    </row>
    <row r="28" spans="2:19" s="18" customFormat="1" ht="78.75" customHeight="1" x14ac:dyDescent="0.3">
      <c r="B28" s="105" t="s">
        <v>584</v>
      </c>
      <c r="C28" s="79" t="s">
        <v>585</v>
      </c>
      <c r="D28" s="79" t="s">
        <v>451</v>
      </c>
      <c r="E28" s="78" t="s">
        <v>474</v>
      </c>
      <c r="F28" s="78" t="s">
        <v>586</v>
      </c>
      <c r="G28" s="78" t="s">
        <v>587</v>
      </c>
      <c r="H28" s="129" t="s">
        <v>579</v>
      </c>
      <c r="I28" s="129" t="s">
        <v>580</v>
      </c>
      <c r="J28" s="130" t="s">
        <v>581</v>
      </c>
      <c r="K28" s="128" t="s">
        <v>550</v>
      </c>
      <c r="L28" s="130">
        <v>4.2</v>
      </c>
      <c r="M28" s="128" t="s">
        <v>583</v>
      </c>
      <c r="N28" s="128" t="s">
        <v>525</v>
      </c>
      <c r="O28" s="76">
        <v>7</v>
      </c>
      <c r="P28" s="159">
        <v>43224</v>
      </c>
      <c r="Q28" s="159">
        <v>45769</v>
      </c>
      <c r="R28" s="223"/>
      <c r="S28" s="106"/>
    </row>
    <row r="29" spans="2:19" s="18" customFormat="1" ht="78.75" customHeight="1" x14ac:dyDescent="0.3">
      <c r="B29" s="104" t="s">
        <v>588</v>
      </c>
      <c r="C29" s="68" t="s">
        <v>453</v>
      </c>
      <c r="D29" s="68" t="s">
        <v>451</v>
      </c>
      <c r="E29" s="69" t="s">
        <v>474</v>
      </c>
      <c r="F29" s="69" t="s">
        <v>589</v>
      </c>
      <c r="G29" s="69" t="s">
        <v>590</v>
      </c>
      <c r="H29" s="74" t="s">
        <v>579</v>
      </c>
      <c r="I29" s="74" t="s">
        <v>580</v>
      </c>
      <c r="J29" s="71" t="s">
        <v>581</v>
      </c>
      <c r="K29" s="73" t="s">
        <v>550</v>
      </c>
      <c r="L29" s="71">
        <v>4.2</v>
      </c>
      <c r="M29" s="71" t="s">
        <v>575</v>
      </c>
      <c r="N29" s="73" t="s">
        <v>525</v>
      </c>
      <c r="O29" s="76" t="s">
        <v>591</v>
      </c>
      <c r="P29" s="158">
        <v>43224</v>
      </c>
      <c r="Q29" s="158">
        <v>45490</v>
      </c>
      <c r="R29" s="68"/>
      <c r="S29" s="103"/>
    </row>
    <row r="30" spans="2:19" s="18" customFormat="1" ht="78.75" customHeight="1" x14ac:dyDescent="0.3">
      <c r="B30" s="104" t="s">
        <v>592</v>
      </c>
      <c r="C30" s="68" t="s">
        <v>585</v>
      </c>
      <c r="D30" s="68" t="s">
        <v>451</v>
      </c>
      <c r="E30" s="69" t="s">
        <v>531</v>
      </c>
      <c r="F30" s="69" t="s">
        <v>593</v>
      </c>
      <c r="G30" s="69" t="s">
        <v>594</v>
      </c>
      <c r="H30" s="73" t="s">
        <v>595</v>
      </c>
      <c r="I30" s="77" t="s">
        <v>596</v>
      </c>
      <c r="J30" s="73" t="s">
        <v>597</v>
      </c>
      <c r="K30" s="73" t="s">
        <v>550</v>
      </c>
      <c r="L30" s="128">
        <v>4.2</v>
      </c>
      <c r="M30" s="71" t="s">
        <v>598</v>
      </c>
      <c r="N30" s="73" t="s">
        <v>525</v>
      </c>
      <c r="O30" s="76">
        <v>7</v>
      </c>
      <c r="P30" s="158">
        <v>43224</v>
      </c>
      <c r="Q30" s="158">
        <v>45545</v>
      </c>
      <c r="R30" s="89"/>
      <c r="S30" s="103"/>
    </row>
    <row r="31" spans="2:19" s="18" customFormat="1" ht="78.75" hidden="1" customHeight="1" x14ac:dyDescent="0.3">
      <c r="B31" s="119" t="s">
        <v>599</v>
      </c>
      <c r="C31" s="120" t="s">
        <v>486</v>
      </c>
      <c r="D31" s="120" t="s">
        <v>451</v>
      </c>
      <c r="E31" s="121" t="s">
        <v>600</v>
      </c>
      <c r="F31" s="121" t="s">
        <v>601</v>
      </c>
      <c r="G31" s="121" t="s">
        <v>602</v>
      </c>
      <c r="H31" s="210" t="s">
        <v>603</v>
      </c>
      <c r="I31" s="146" t="s">
        <v>596</v>
      </c>
      <c r="J31" s="124" t="s">
        <v>597</v>
      </c>
      <c r="K31" s="124" t="s">
        <v>550</v>
      </c>
      <c r="L31" s="124" t="s">
        <v>604</v>
      </c>
      <c r="M31" s="124" t="s">
        <v>575</v>
      </c>
      <c r="N31" s="124" t="s">
        <v>525</v>
      </c>
      <c r="O31" s="125">
        <v>7</v>
      </c>
      <c r="P31" s="120" t="s">
        <v>496</v>
      </c>
      <c r="Q31" s="120" t="s">
        <v>516</v>
      </c>
      <c r="R31" s="126" t="s">
        <v>605</v>
      </c>
      <c r="S31" s="127"/>
    </row>
    <row r="32" spans="2:19" s="18" customFormat="1" ht="78.75" customHeight="1" x14ac:dyDescent="0.3">
      <c r="B32" s="105" t="s">
        <v>606</v>
      </c>
      <c r="C32" s="79" t="s">
        <v>664</v>
      </c>
      <c r="D32" s="79" t="s">
        <v>451</v>
      </c>
      <c r="E32" s="78" t="s">
        <v>531</v>
      </c>
      <c r="F32" s="78" t="s">
        <v>607</v>
      </c>
      <c r="G32" s="78" t="s">
        <v>608</v>
      </c>
      <c r="H32" s="131" t="s">
        <v>603</v>
      </c>
      <c r="I32" s="131" t="s">
        <v>596</v>
      </c>
      <c r="J32" s="128" t="s">
        <v>597</v>
      </c>
      <c r="K32" s="128" t="s">
        <v>550</v>
      </c>
      <c r="L32" s="128">
        <v>4.2</v>
      </c>
      <c r="M32" s="128" t="s">
        <v>598</v>
      </c>
      <c r="N32" s="128" t="s">
        <v>525</v>
      </c>
      <c r="O32" s="76">
        <v>7</v>
      </c>
      <c r="P32" s="159">
        <v>43224</v>
      </c>
      <c r="Q32" s="158">
        <v>46198</v>
      </c>
      <c r="R32" s="80" t="s">
        <v>2722</v>
      </c>
      <c r="S32" s="106"/>
    </row>
    <row r="33" spans="2:19" s="18" customFormat="1" ht="78.75" customHeight="1" x14ac:dyDescent="0.3">
      <c r="B33" s="104" t="s">
        <v>609</v>
      </c>
      <c r="C33" s="68" t="s">
        <v>585</v>
      </c>
      <c r="D33" s="68" t="s">
        <v>451</v>
      </c>
      <c r="E33" s="69" t="s">
        <v>560</v>
      </c>
      <c r="F33" s="69" t="s">
        <v>610</v>
      </c>
      <c r="G33" s="69" t="s">
        <v>611</v>
      </c>
      <c r="H33" s="77" t="s">
        <v>612</v>
      </c>
      <c r="I33" s="73" t="s">
        <v>613</v>
      </c>
      <c r="J33" s="73" t="s">
        <v>614</v>
      </c>
      <c r="K33" s="73" t="s">
        <v>550</v>
      </c>
      <c r="L33" s="73">
        <v>4.2</v>
      </c>
      <c r="M33" s="73" t="s">
        <v>615</v>
      </c>
      <c r="N33" s="73" t="s">
        <v>494</v>
      </c>
      <c r="O33" s="76">
        <v>10</v>
      </c>
      <c r="P33" s="158">
        <v>43224</v>
      </c>
      <c r="Q33" s="158">
        <v>45490</v>
      </c>
      <c r="R33" s="89"/>
      <c r="S33" s="103"/>
    </row>
    <row r="34" spans="2:19" s="18" customFormat="1" ht="78.75" customHeight="1" x14ac:dyDescent="0.3">
      <c r="B34" s="104" t="s">
        <v>616</v>
      </c>
      <c r="C34" s="68" t="s">
        <v>585</v>
      </c>
      <c r="D34" s="68" t="s">
        <v>451</v>
      </c>
      <c r="E34" s="69" t="s">
        <v>560</v>
      </c>
      <c r="F34" s="69" t="s">
        <v>617</v>
      </c>
      <c r="G34" s="69" t="s">
        <v>618</v>
      </c>
      <c r="H34" s="77" t="s">
        <v>619</v>
      </c>
      <c r="I34" s="74" t="s">
        <v>613</v>
      </c>
      <c r="J34" s="71" t="s">
        <v>620</v>
      </c>
      <c r="K34" s="73" t="s">
        <v>550</v>
      </c>
      <c r="L34" s="73">
        <v>4.2</v>
      </c>
      <c r="M34" s="71" t="s">
        <v>575</v>
      </c>
      <c r="N34" s="73" t="s">
        <v>525</v>
      </c>
      <c r="O34" s="76">
        <v>10</v>
      </c>
      <c r="P34" s="158">
        <v>43224</v>
      </c>
      <c r="Q34" s="158">
        <v>45490</v>
      </c>
      <c r="R34" s="89"/>
      <c r="S34" s="103"/>
    </row>
    <row r="35" spans="2:19" s="18" customFormat="1" ht="78.75" hidden="1" customHeight="1" x14ac:dyDescent="0.3">
      <c r="B35" s="119" t="s">
        <v>621</v>
      </c>
      <c r="C35" s="120" t="s">
        <v>486</v>
      </c>
      <c r="D35" s="120" t="s">
        <v>451</v>
      </c>
      <c r="E35" s="121" t="s">
        <v>622</v>
      </c>
      <c r="F35" s="121" t="s">
        <v>623</v>
      </c>
      <c r="G35" s="121" t="s">
        <v>624</v>
      </c>
      <c r="H35" s="210" t="s">
        <v>625</v>
      </c>
      <c r="I35" s="146" t="s">
        <v>626</v>
      </c>
      <c r="J35" s="124" t="s">
        <v>627</v>
      </c>
      <c r="K35" s="124" t="s">
        <v>504</v>
      </c>
      <c r="L35" s="124">
        <v>4.2</v>
      </c>
      <c r="M35" s="124" t="s">
        <v>628</v>
      </c>
      <c r="N35" s="124" t="s">
        <v>525</v>
      </c>
      <c r="O35" s="125" t="s">
        <v>629</v>
      </c>
      <c r="P35" s="120" t="s">
        <v>496</v>
      </c>
      <c r="Q35" s="120" t="s">
        <v>516</v>
      </c>
      <c r="R35" s="126" t="s">
        <v>630</v>
      </c>
      <c r="S35" s="127"/>
    </row>
    <row r="36" spans="2:19" s="18" customFormat="1" ht="78.75" customHeight="1" x14ac:dyDescent="0.3">
      <c r="B36" s="104" t="s">
        <v>631</v>
      </c>
      <c r="C36" s="68" t="s">
        <v>453</v>
      </c>
      <c r="D36" s="68" t="s">
        <v>451</v>
      </c>
      <c r="E36" s="69" t="s">
        <v>474</v>
      </c>
      <c r="F36" s="69" t="s">
        <v>632</v>
      </c>
      <c r="G36" s="69" t="s">
        <v>633</v>
      </c>
      <c r="H36" s="72" t="s">
        <v>634</v>
      </c>
      <c r="I36" s="72" t="s">
        <v>635</v>
      </c>
      <c r="J36" s="72" t="s">
        <v>636</v>
      </c>
      <c r="K36" s="72" t="s">
        <v>550</v>
      </c>
      <c r="L36" s="72">
        <v>5</v>
      </c>
      <c r="M36" s="73" t="s">
        <v>637</v>
      </c>
      <c r="N36" s="73" t="s">
        <v>638</v>
      </c>
      <c r="O36" s="76">
        <v>7</v>
      </c>
      <c r="P36" s="158">
        <v>43224</v>
      </c>
      <c r="Q36" s="158">
        <v>45490</v>
      </c>
      <c r="R36" s="68"/>
      <c r="S36" s="103"/>
    </row>
    <row r="37" spans="2:19" s="18" customFormat="1" ht="78.75" customHeight="1" x14ac:dyDescent="0.3">
      <c r="B37" s="104" t="s">
        <v>639</v>
      </c>
      <c r="C37" s="68" t="s">
        <v>453</v>
      </c>
      <c r="D37" s="68" t="s">
        <v>451</v>
      </c>
      <c r="E37" s="69" t="s">
        <v>531</v>
      </c>
      <c r="F37" s="69" t="s">
        <v>640</v>
      </c>
      <c r="G37" s="69" t="s">
        <v>641</v>
      </c>
      <c r="H37" s="77" t="s">
        <v>612</v>
      </c>
      <c r="I37" s="73" t="s">
        <v>613</v>
      </c>
      <c r="J37" s="73" t="s">
        <v>614</v>
      </c>
      <c r="K37" s="73" t="s">
        <v>550</v>
      </c>
      <c r="L37" s="73">
        <v>4.2</v>
      </c>
      <c r="M37" s="73" t="s">
        <v>642</v>
      </c>
      <c r="N37" s="73" t="s">
        <v>643</v>
      </c>
      <c r="O37" s="76">
        <v>7</v>
      </c>
      <c r="P37" s="158">
        <v>43224</v>
      </c>
      <c r="Q37" s="158">
        <v>45490</v>
      </c>
      <c r="R37" s="68"/>
      <c r="S37" s="103"/>
    </row>
    <row r="38" spans="2:19" ht="78.75" customHeight="1" x14ac:dyDescent="0.3">
      <c r="B38" s="105" t="s">
        <v>644</v>
      </c>
      <c r="C38" s="68" t="s">
        <v>453</v>
      </c>
      <c r="D38" s="68" t="s">
        <v>451</v>
      </c>
      <c r="E38" s="78" t="s">
        <v>474</v>
      </c>
      <c r="F38" s="78" t="s">
        <v>475</v>
      </c>
      <c r="G38" s="78" t="s">
        <v>476</v>
      </c>
      <c r="H38" s="70" t="s">
        <v>645</v>
      </c>
      <c r="I38" s="70" t="s">
        <v>646</v>
      </c>
      <c r="J38" s="70" t="s">
        <v>647</v>
      </c>
      <c r="K38" s="70" t="s">
        <v>566</v>
      </c>
      <c r="L38" s="70">
        <v>4</v>
      </c>
      <c r="M38" s="78" t="s">
        <v>648</v>
      </c>
      <c r="N38" s="78" t="s">
        <v>482</v>
      </c>
      <c r="O38" s="76">
        <v>4.3</v>
      </c>
      <c r="P38" s="159">
        <v>43301</v>
      </c>
      <c r="Q38" s="158">
        <v>45490</v>
      </c>
      <c r="R38" s="79"/>
      <c r="S38" s="106"/>
    </row>
    <row r="39" spans="2:19" ht="78.75" customHeight="1" x14ac:dyDescent="0.3">
      <c r="B39" s="105" t="s">
        <v>649</v>
      </c>
      <c r="C39" s="68" t="s">
        <v>453</v>
      </c>
      <c r="D39" s="68" t="s">
        <v>451</v>
      </c>
      <c r="E39" s="78" t="s">
        <v>474</v>
      </c>
      <c r="F39" s="78" t="s">
        <v>650</v>
      </c>
      <c r="G39" s="78" t="s">
        <v>651</v>
      </c>
      <c r="H39" s="70" t="s">
        <v>652</v>
      </c>
      <c r="I39" s="70" t="s">
        <v>653</v>
      </c>
      <c r="J39" s="70" t="s">
        <v>654</v>
      </c>
      <c r="K39" s="70" t="s">
        <v>504</v>
      </c>
      <c r="L39" s="70">
        <v>4</v>
      </c>
      <c r="M39" s="70" t="s">
        <v>655</v>
      </c>
      <c r="N39" s="70" t="s">
        <v>494</v>
      </c>
      <c r="O39" s="76">
        <v>5</v>
      </c>
      <c r="P39" s="159">
        <v>43301</v>
      </c>
      <c r="Q39" s="158">
        <v>45490</v>
      </c>
      <c r="R39" s="79"/>
      <c r="S39" s="106"/>
    </row>
    <row r="40" spans="2:19" ht="78.75" customHeight="1" x14ac:dyDescent="0.3">
      <c r="B40" s="105" t="s">
        <v>656</v>
      </c>
      <c r="C40" s="68" t="s">
        <v>453</v>
      </c>
      <c r="D40" s="68" t="s">
        <v>451</v>
      </c>
      <c r="E40" s="78" t="s">
        <v>474</v>
      </c>
      <c r="F40" s="78" t="s">
        <v>657</v>
      </c>
      <c r="G40" s="78" t="s">
        <v>658</v>
      </c>
      <c r="H40" s="70" t="s">
        <v>555</v>
      </c>
      <c r="I40" s="70" t="s">
        <v>556</v>
      </c>
      <c r="J40" s="70" t="s">
        <v>659</v>
      </c>
      <c r="K40" s="70" t="s">
        <v>566</v>
      </c>
      <c r="L40" s="70">
        <v>4</v>
      </c>
      <c r="M40" s="70" t="s">
        <v>583</v>
      </c>
      <c r="N40" s="70" t="s">
        <v>494</v>
      </c>
      <c r="O40" s="76">
        <v>5</v>
      </c>
      <c r="P40" s="159">
        <v>43301</v>
      </c>
      <c r="Q40" s="158">
        <v>45490</v>
      </c>
      <c r="R40" s="79"/>
      <c r="S40" s="106"/>
    </row>
    <row r="41" spans="2:19" ht="78.75" customHeight="1" x14ac:dyDescent="0.3">
      <c r="B41" s="105" t="s">
        <v>660</v>
      </c>
      <c r="C41" s="68" t="s">
        <v>453</v>
      </c>
      <c r="D41" s="68" t="s">
        <v>451</v>
      </c>
      <c r="E41" s="78" t="s">
        <v>474</v>
      </c>
      <c r="F41" s="78" t="s">
        <v>661</v>
      </c>
      <c r="G41" s="78" t="s">
        <v>662</v>
      </c>
      <c r="H41" s="70" t="s">
        <v>542</v>
      </c>
      <c r="I41" s="70" t="s">
        <v>543</v>
      </c>
      <c r="J41" s="70" t="s">
        <v>544</v>
      </c>
      <c r="K41" s="70" t="s">
        <v>550</v>
      </c>
      <c r="L41" s="70">
        <v>4.2</v>
      </c>
      <c r="M41" s="70" t="s">
        <v>628</v>
      </c>
      <c r="N41" s="70" t="s">
        <v>525</v>
      </c>
      <c r="O41" s="76">
        <v>7</v>
      </c>
      <c r="P41" s="159">
        <v>43301</v>
      </c>
      <c r="Q41" s="159">
        <v>44848</v>
      </c>
      <c r="R41" s="79"/>
      <c r="S41" s="106"/>
    </row>
    <row r="42" spans="2:19" ht="78.75" customHeight="1" x14ac:dyDescent="0.3">
      <c r="B42" s="105" t="s">
        <v>663</v>
      </c>
      <c r="C42" s="79" t="s">
        <v>664</v>
      </c>
      <c r="D42" s="79" t="s">
        <v>451</v>
      </c>
      <c r="E42" s="78" t="s">
        <v>531</v>
      </c>
      <c r="F42" s="78" t="s">
        <v>593</v>
      </c>
      <c r="G42" s="78" t="s">
        <v>665</v>
      </c>
      <c r="H42" s="131" t="s">
        <v>603</v>
      </c>
      <c r="I42" s="70" t="s">
        <v>596</v>
      </c>
      <c r="J42" s="70" t="s">
        <v>597</v>
      </c>
      <c r="K42" s="70" t="s">
        <v>550</v>
      </c>
      <c r="L42" s="80" t="s">
        <v>666</v>
      </c>
      <c r="M42" s="78" t="s">
        <v>598</v>
      </c>
      <c r="N42" s="70" t="s">
        <v>525</v>
      </c>
      <c r="O42" s="76" t="s">
        <v>526</v>
      </c>
      <c r="P42" s="159">
        <v>43301</v>
      </c>
      <c r="Q42" s="159">
        <v>45548</v>
      </c>
      <c r="R42" s="79" t="s">
        <v>667</v>
      </c>
      <c r="S42" s="106"/>
    </row>
    <row r="43" spans="2:19" ht="78.75" customHeight="1" x14ac:dyDescent="0.3">
      <c r="B43" s="105" t="s">
        <v>668</v>
      </c>
      <c r="C43" s="68" t="s">
        <v>453</v>
      </c>
      <c r="D43" s="68" t="s">
        <v>451</v>
      </c>
      <c r="E43" s="78" t="s">
        <v>474</v>
      </c>
      <c r="F43" s="78" t="s">
        <v>586</v>
      </c>
      <c r="G43" s="78" t="s">
        <v>669</v>
      </c>
      <c r="H43" s="70" t="s">
        <v>579</v>
      </c>
      <c r="I43" s="70" t="s">
        <v>580</v>
      </c>
      <c r="J43" s="70" t="s">
        <v>581</v>
      </c>
      <c r="K43" s="70" t="s">
        <v>550</v>
      </c>
      <c r="L43" s="70">
        <v>4.2</v>
      </c>
      <c r="M43" s="70" t="s">
        <v>583</v>
      </c>
      <c r="N43" s="70" t="s">
        <v>525</v>
      </c>
      <c r="O43" s="76" t="s">
        <v>591</v>
      </c>
      <c r="P43" s="159">
        <v>43301</v>
      </c>
      <c r="Q43" s="158">
        <v>45490</v>
      </c>
      <c r="R43" s="79"/>
      <c r="S43" s="106"/>
    </row>
    <row r="44" spans="2:19" ht="78.75" customHeight="1" x14ac:dyDescent="0.3">
      <c r="B44" s="105" t="s">
        <v>670</v>
      </c>
      <c r="C44" s="68" t="s">
        <v>585</v>
      </c>
      <c r="D44" s="68" t="s">
        <v>451</v>
      </c>
      <c r="E44" s="78" t="s">
        <v>474</v>
      </c>
      <c r="F44" s="78" t="s">
        <v>671</v>
      </c>
      <c r="G44" s="78" t="s">
        <v>672</v>
      </c>
      <c r="H44" s="70" t="s">
        <v>673</v>
      </c>
      <c r="I44" s="70" t="s">
        <v>674</v>
      </c>
      <c r="J44" s="78" t="s">
        <v>675</v>
      </c>
      <c r="K44" s="70" t="s">
        <v>550</v>
      </c>
      <c r="L44" s="81">
        <v>5</v>
      </c>
      <c r="M44" s="70" t="s">
        <v>637</v>
      </c>
      <c r="N44" s="70" t="s">
        <v>638</v>
      </c>
      <c r="O44" s="76">
        <v>9</v>
      </c>
      <c r="P44" s="159">
        <v>43435</v>
      </c>
      <c r="Q44" s="158">
        <v>45754</v>
      </c>
      <c r="R44" s="117" t="s">
        <v>676</v>
      </c>
      <c r="S44" s="106"/>
    </row>
    <row r="45" spans="2:19" ht="78.75" hidden="1" customHeight="1" x14ac:dyDescent="0.3">
      <c r="B45" s="119" t="s">
        <v>677</v>
      </c>
      <c r="C45" s="120" t="s">
        <v>486</v>
      </c>
      <c r="D45" s="120" t="s">
        <v>452</v>
      </c>
      <c r="E45" s="121" t="s">
        <v>474</v>
      </c>
      <c r="F45" s="121" t="s">
        <v>678</v>
      </c>
      <c r="G45" s="121" t="s">
        <v>679</v>
      </c>
      <c r="H45" s="146" t="s">
        <v>603</v>
      </c>
      <c r="I45" s="147" t="s">
        <v>596</v>
      </c>
      <c r="J45" s="147" t="s">
        <v>597</v>
      </c>
      <c r="K45" s="147" t="s">
        <v>550</v>
      </c>
      <c r="L45" s="147" t="s">
        <v>680</v>
      </c>
      <c r="M45" s="147" t="s">
        <v>681</v>
      </c>
      <c r="N45" s="147" t="s">
        <v>682</v>
      </c>
      <c r="O45" s="125">
        <v>7</v>
      </c>
      <c r="P45" s="120" t="s">
        <v>683</v>
      </c>
      <c r="Q45" s="120" t="s">
        <v>684</v>
      </c>
      <c r="R45" s="126" t="s">
        <v>685</v>
      </c>
      <c r="S45" s="127"/>
    </row>
    <row r="46" spans="2:19" ht="78.75" customHeight="1" x14ac:dyDescent="0.3">
      <c r="B46" s="105" t="s">
        <v>686</v>
      </c>
      <c r="C46" s="68" t="s">
        <v>585</v>
      </c>
      <c r="D46" s="68" t="s">
        <v>451</v>
      </c>
      <c r="E46" s="78" t="s">
        <v>531</v>
      </c>
      <c r="F46" s="78" t="s">
        <v>687</v>
      </c>
      <c r="G46" s="78" t="s">
        <v>688</v>
      </c>
      <c r="H46" s="70" t="s">
        <v>689</v>
      </c>
      <c r="I46" s="70" t="s">
        <v>690</v>
      </c>
      <c r="J46" s="70" t="s">
        <v>691</v>
      </c>
      <c r="K46" s="70" t="s">
        <v>550</v>
      </c>
      <c r="L46" s="80" t="s">
        <v>692</v>
      </c>
      <c r="M46" s="70" t="s">
        <v>693</v>
      </c>
      <c r="N46" s="70" t="s">
        <v>694</v>
      </c>
      <c r="O46" s="76" t="s">
        <v>591</v>
      </c>
      <c r="P46" s="159">
        <v>43435</v>
      </c>
      <c r="Q46" s="158">
        <v>45765</v>
      </c>
      <c r="R46" s="79"/>
      <c r="S46" s="106"/>
    </row>
    <row r="47" spans="2:19" ht="78.75" hidden="1" customHeight="1" x14ac:dyDescent="0.3">
      <c r="B47" s="119" t="s">
        <v>695</v>
      </c>
      <c r="C47" s="120" t="s">
        <v>486</v>
      </c>
      <c r="D47" s="120" t="s">
        <v>451</v>
      </c>
      <c r="E47" s="121" t="s">
        <v>696</v>
      </c>
      <c r="F47" s="121" t="s">
        <v>697</v>
      </c>
      <c r="G47" s="121" t="s">
        <v>698</v>
      </c>
      <c r="H47" s="147" t="s">
        <v>699</v>
      </c>
      <c r="I47" s="147" t="s">
        <v>700</v>
      </c>
      <c r="J47" s="147" t="s">
        <v>701</v>
      </c>
      <c r="K47" s="147" t="s">
        <v>582</v>
      </c>
      <c r="L47" s="147" t="s">
        <v>702</v>
      </c>
      <c r="M47" s="147" t="s">
        <v>703</v>
      </c>
      <c r="N47" s="147" t="s">
        <v>704</v>
      </c>
      <c r="O47" s="125" t="s">
        <v>629</v>
      </c>
      <c r="P47" s="120" t="s">
        <v>683</v>
      </c>
      <c r="Q47" s="120" t="s">
        <v>705</v>
      </c>
      <c r="R47" s="120" t="s">
        <v>706</v>
      </c>
      <c r="S47" s="127"/>
    </row>
    <row r="48" spans="2:19" ht="78.75" customHeight="1" x14ac:dyDescent="0.3">
      <c r="B48" s="105" t="s">
        <v>707</v>
      </c>
      <c r="C48" s="68" t="s">
        <v>585</v>
      </c>
      <c r="D48" s="68" t="s">
        <v>451</v>
      </c>
      <c r="E48" s="78" t="s">
        <v>696</v>
      </c>
      <c r="F48" s="78" t="s">
        <v>708</v>
      </c>
      <c r="G48" s="78" t="s">
        <v>709</v>
      </c>
      <c r="H48" s="70" t="s">
        <v>710</v>
      </c>
      <c r="I48" s="70" t="s">
        <v>690</v>
      </c>
      <c r="J48" s="70" t="s">
        <v>711</v>
      </c>
      <c r="K48" s="70" t="s">
        <v>712</v>
      </c>
      <c r="L48" s="75">
        <v>5</v>
      </c>
      <c r="M48" s="70" t="s">
        <v>713</v>
      </c>
      <c r="N48" s="70" t="s">
        <v>714</v>
      </c>
      <c r="O48" s="76">
        <v>8.1</v>
      </c>
      <c r="P48" s="159">
        <v>43435</v>
      </c>
      <c r="Q48" s="158">
        <v>45729</v>
      </c>
      <c r="R48" s="223"/>
      <c r="S48" s="106"/>
    </row>
    <row r="49" spans="2:19" ht="78.75" customHeight="1" x14ac:dyDescent="0.3">
      <c r="B49" s="105" t="s">
        <v>715</v>
      </c>
      <c r="C49" s="68" t="s">
        <v>453</v>
      </c>
      <c r="D49" s="68" t="s">
        <v>452</v>
      </c>
      <c r="E49" s="78" t="s">
        <v>696</v>
      </c>
      <c r="F49" s="78" t="s">
        <v>716</v>
      </c>
      <c r="G49" s="78" t="s">
        <v>717</v>
      </c>
      <c r="H49" s="70" t="s">
        <v>718</v>
      </c>
      <c r="I49" s="70" t="s">
        <v>719</v>
      </c>
      <c r="J49" s="70" t="s">
        <v>720</v>
      </c>
      <c r="K49" s="70" t="s">
        <v>550</v>
      </c>
      <c r="L49" s="75">
        <v>5</v>
      </c>
      <c r="M49" s="70" t="s">
        <v>721</v>
      </c>
      <c r="N49" s="70" t="s">
        <v>722</v>
      </c>
      <c r="O49" s="76">
        <v>8.1</v>
      </c>
      <c r="P49" s="159">
        <v>43435</v>
      </c>
      <c r="Q49" s="158">
        <v>45490</v>
      </c>
      <c r="R49" s="79"/>
      <c r="S49" s="106"/>
    </row>
    <row r="50" spans="2:19" ht="78.75" customHeight="1" x14ac:dyDescent="0.3">
      <c r="B50" s="105" t="s">
        <v>723</v>
      </c>
      <c r="C50" s="68" t="s">
        <v>585</v>
      </c>
      <c r="D50" s="68" t="s">
        <v>451</v>
      </c>
      <c r="E50" s="78" t="s">
        <v>724</v>
      </c>
      <c r="F50" s="78" t="s">
        <v>725</v>
      </c>
      <c r="G50" s="78" t="s">
        <v>726</v>
      </c>
      <c r="H50" s="70" t="s">
        <v>727</v>
      </c>
      <c r="I50" s="70" t="s">
        <v>728</v>
      </c>
      <c r="J50" s="70" t="s">
        <v>729</v>
      </c>
      <c r="K50" s="70" t="s">
        <v>730</v>
      </c>
      <c r="L50" s="80">
        <v>5</v>
      </c>
      <c r="M50" s="70" t="s">
        <v>693</v>
      </c>
      <c r="N50" s="70" t="s">
        <v>731</v>
      </c>
      <c r="O50" s="76">
        <v>10</v>
      </c>
      <c r="P50" s="159">
        <v>43734</v>
      </c>
      <c r="Q50" s="158">
        <v>45490</v>
      </c>
      <c r="R50" s="79"/>
      <c r="S50" s="106"/>
    </row>
    <row r="51" spans="2:19" ht="78.75" hidden="1" customHeight="1" x14ac:dyDescent="0.3">
      <c r="B51" s="119" t="s">
        <v>732</v>
      </c>
      <c r="C51" s="120" t="s">
        <v>486</v>
      </c>
      <c r="D51" s="120" t="s">
        <v>451</v>
      </c>
      <c r="E51" s="121" t="s">
        <v>696</v>
      </c>
      <c r="F51" s="121" t="s">
        <v>733</v>
      </c>
      <c r="G51" s="121" t="s">
        <v>734</v>
      </c>
      <c r="H51" s="147" t="s">
        <v>735</v>
      </c>
      <c r="I51" s="147" t="s">
        <v>736</v>
      </c>
      <c r="J51" s="147" t="s">
        <v>720</v>
      </c>
      <c r="K51" s="147" t="s">
        <v>550</v>
      </c>
      <c r="L51" s="151">
        <v>5</v>
      </c>
      <c r="M51" s="147" t="s">
        <v>737</v>
      </c>
      <c r="N51" s="147" t="s">
        <v>738</v>
      </c>
      <c r="O51" s="125">
        <v>9</v>
      </c>
      <c r="P51" s="120" t="s">
        <v>739</v>
      </c>
      <c r="Q51" s="120" t="s">
        <v>705</v>
      </c>
      <c r="R51" s="120" t="s">
        <v>706</v>
      </c>
      <c r="S51" s="127"/>
    </row>
    <row r="52" spans="2:19" ht="78.75" customHeight="1" x14ac:dyDescent="0.3">
      <c r="B52" s="105" t="s">
        <v>740</v>
      </c>
      <c r="C52" s="68" t="s">
        <v>453</v>
      </c>
      <c r="D52" s="68" t="s">
        <v>451</v>
      </c>
      <c r="E52" s="78" t="s">
        <v>741</v>
      </c>
      <c r="F52" s="78" t="s">
        <v>742</v>
      </c>
      <c r="G52" s="78" t="s">
        <v>743</v>
      </c>
      <c r="H52" s="70" t="s">
        <v>744</v>
      </c>
      <c r="I52" s="70" t="s">
        <v>745</v>
      </c>
      <c r="J52" s="70" t="s">
        <v>746</v>
      </c>
      <c r="K52" s="70" t="s">
        <v>730</v>
      </c>
      <c r="L52" s="75">
        <v>5</v>
      </c>
      <c r="M52" s="70" t="s">
        <v>747</v>
      </c>
      <c r="N52" s="70" t="s">
        <v>738</v>
      </c>
      <c r="O52" s="76">
        <v>10</v>
      </c>
      <c r="P52" s="159">
        <v>43738</v>
      </c>
      <c r="Q52" s="158">
        <v>45490</v>
      </c>
      <c r="R52" s="79"/>
      <c r="S52" s="106"/>
    </row>
    <row r="53" spans="2:19" ht="78.75" customHeight="1" x14ac:dyDescent="0.3">
      <c r="B53" s="107" t="s">
        <v>748</v>
      </c>
      <c r="C53" s="83" t="s">
        <v>664</v>
      </c>
      <c r="D53" s="83" t="s">
        <v>451</v>
      </c>
      <c r="E53" s="82" t="s">
        <v>622</v>
      </c>
      <c r="F53" s="82" t="s">
        <v>749</v>
      </c>
      <c r="G53" s="82" t="s">
        <v>750</v>
      </c>
      <c r="H53" s="84" t="s">
        <v>751</v>
      </c>
      <c r="I53" s="84" t="s">
        <v>752</v>
      </c>
      <c r="J53" s="84" t="s">
        <v>753</v>
      </c>
      <c r="K53" s="84" t="s">
        <v>550</v>
      </c>
      <c r="L53" s="85">
        <v>5</v>
      </c>
      <c r="M53" s="84" t="s">
        <v>754</v>
      </c>
      <c r="N53" s="84" t="s">
        <v>755</v>
      </c>
      <c r="O53" s="86">
        <v>12</v>
      </c>
      <c r="P53" s="160">
        <v>43738</v>
      </c>
      <c r="Q53" s="160">
        <v>45558</v>
      </c>
      <c r="R53" s="87" t="s">
        <v>756</v>
      </c>
      <c r="S53" s="108"/>
    </row>
    <row r="54" spans="2:19" ht="78.75" customHeight="1" x14ac:dyDescent="0.3">
      <c r="B54" s="105" t="s">
        <v>757</v>
      </c>
      <c r="C54" s="68" t="s">
        <v>453</v>
      </c>
      <c r="D54" s="68" t="s">
        <v>451</v>
      </c>
      <c r="E54" s="78" t="s">
        <v>758</v>
      </c>
      <c r="F54" s="78" t="s">
        <v>759</v>
      </c>
      <c r="G54" s="78" t="s">
        <v>760</v>
      </c>
      <c r="H54" s="70" t="s">
        <v>761</v>
      </c>
      <c r="I54" s="70" t="s">
        <v>762</v>
      </c>
      <c r="J54" s="70" t="s">
        <v>763</v>
      </c>
      <c r="K54" s="70" t="s">
        <v>550</v>
      </c>
      <c r="L54" s="80">
        <v>4.2</v>
      </c>
      <c r="M54" s="70" t="s">
        <v>764</v>
      </c>
      <c r="N54" s="70" t="s">
        <v>765</v>
      </c>
      <c r="O54" s="76">
        <v>8</v>
      </c>
      <c r="P54" s="159">
        <v>43776</v>
      </c>
      <c r="Q54" s="158">
        <v>45490</v>
      </c>
      <c r="R54" s="79"/>
      <c r="S54" s="106"/>
    </row>
    <row r="55" spans="2:19" ht="78.75" customHeight="1" x14ac:dyDescent="0.3">
      <c r="B55" s="105" t="s">
        <v>766</v>
      </c>
      <c r="C55" s="68" t="s">
        <v>453</v>
      </c>
      <c r="D55" s="68" t="s">
        <v>451</v>
      </c>
      <c r="E55" s="78" t="s">
        <v>758</v>
      </c>
      <c r="F55" s="78" t="s">
        <v>767</v>
      </c>
      <c r="G55" s="78" t="s">
        <v>768</v>
      </c>
      <c r="H55" s="70" t="s">
        <v>769</v>
      </c>
      <c r="I55" s="70" t="s">
        <v>770</v>
      </c>
      <c r="J55" s="70" t="s">
        <v>771</v>
      </c>
      <c r="K55" s="70" t="s">
        <v>712</v>
      </c>
      <c r="L55" s="80">
        <v>4.2</v>
      </c>
      <c r="M55" s="70" t="s">
        <v>772</v>
      </c>
      <c r="N55" s="70" t="s">
        <v>704</v>
      </c>
      <c r="O55" s="76">
        <v>9</v>
      </c>
      <c r="P55" s="159" t="s">
        <v>773</v>
      </c>
      <c r="Q55" s="158">
        <v>45490</v>
      </c>
      <c r="R55" s="114" t="s">
        <v>774</v>
      </c>
      <c r="S55" s="106"/>
    </row>
    <row r="56" spans="2:19" ht="78.75" customHeight="1" x14ac:dyDescent="0.3">
      <c r="B56" s="105" t="s">
        <v>775</v>
      </c>
      <c r="C56" s="68" t="s">
        <v>585</v>
      </c>
      <c r="D56" s="68" t="s">
        <v>451</v>
      </c>
      <c r="E56" s="78" t="s">
        <v>758</v>
      </c>
      <c r="F56" s="78" t="s">
        <v>776</v>
      </c>
      <c r="G56" s="78" t="s">
        <v>777</v>
      </c>
      <c r="H56" s="70" t="s">
        <v>778</v>
      </c>
      <c r="I56" s="70" t="s">
        <v>779</v>
      </c>
      <c r="J56" s="70" t="s">
        <v>780</v>
      </c>
      <c r="K56" s="70" t="s">
        <v>550</v>
      </c>
      <c r="L56" s="80">
        <v>4.2</v>
      </c>
      <c r="M56" s="70" t="s">
        <v>781</v>
      </c>
      <c r="N56" s="70" t="s">
        <v>738</v>
      </c>
      <c r="O56" s="76">
        <v>9</v>
      </c>
      <c r="P56" s="159" t="s">
        <v>782</v>
      </c>
      <c r="Q56" s="158">
        <v>45490</v>
      </c>
      <c r="R56" s="89"/>
      <c r="S56" s="106"/>
    </row>
    <row r="57" spans="2:19" ht="78.75" customHeight="1" x14ac:dyDescent="0.3">
      <c r="B57" s="107" t="s">
        <v>783</v>
      </c>
      <c r="C57" s="83" t="s">
        <v>453</v>
      </c>
      <c r="D57" s="83" t="s">
        <v>451</v>
      </c>
      <c r="E57" s="82" t="s">
        <v>724</v>
      </c>
      <c r="F57" s="82" t="s">
        <v>784</v>
      </c>
      <c r="G57" s="82" t="s">
        <v>785</v>
      </c>
      <c r="H57" s="84" t="s">
        <v>786</v>
      </c>
      <c r="I57" s="84" t="s">
        <v>787</v>
      </c>
      <c r="J57" s="84" t="s">
        <v>788</v>
      </c>
      <c r="K57" s="84" t="s">
        <v>712</v>
      </c>
      <c r="L57" s="84">
        <v>5</v>
      </c>
      <c r="M57" s="84" t="s">
        <v>789</v>
      </c>
      <c r="N57" s="84" t="s">
        <v>790</v>
      </c>
      <c r="O57" s="86">
        <v>11</v>
      </c>
      <c r="P57" s="160" t="s">
        <v>791</v>
      </c>
      <c r="Q57" s="160">
        <v>45979</v>
      </c>
      <c r="R57" s="87" t="s">
        <v>792</v>
      </c>
      <c r="S57" s="108"/>
    </row>
    <row r="58" spans="2:19" ht="78.75" customHeight="1" x14ac:dyDescent="0.3">
      <c r="B58" s="105" t="s">
        <v>793</v>
      </c>
      <c r="C58" s="68" t="s">
        <v>585</v>
      </c>
      <c r="D58" s="68" t="s">
        <v>451</v>
      </c>
      <c r="E58" s="78" t="s">
        <v>794</v>
      </c>
      <c r="F58" s="78" t="s">
        <v>795</v>
      </c>
      <c r="G58" s="78" t="s">
        <v>796</v>
      </c>
      <c r="H58" s="70" t="s">
        <v>710</v>
      </c>
      <c r="I58" s="70" t="s">
        <v>690</v>
      </c>
      <c r="J58" s="70" t="s">
        <v>711</v>
      </c>
      <c r="K58" s="70" t="s">
        <v>730</v>
      </c>
      <c r="L58" s="80">
        <v>5</v>
      </c>
      <c r="M58" s="70" t="s">
        <v>642</v>
      </c>
      <c r="N58" s="70" t="s">
        <v>525</v>
      </c>
      <c r="O58" s="88" t="s">
        <v>629</v>
      </c>
      <c r="P58" s="159" t="s">
        <v>791</v>
      </c>
      <c r="Q58" s="158">
        <v>45490</v>
      </c>
      <c r="R58" s="89"/>
      <c r="S58" s="106"/>
    </row>
    <row r="59" spans="2:19" ht="78.75" customHeight="1" x14ac:dyDescent="0.3">
      <c r="B59" s="105" t="s">
        <v>797</v>
      </c>
      <c r="C59" s="68" t="s">
        <v>585</v>
      </c>
      <c r="D59" s="68" t="s">
        <v>451</v>
      </c>
      <c r="E59" s="78" t="s">
        <v>531</v>
      </c>
      <c r="F59" s="78" t="s">
        <v>798</v>
      </c>
      <c r="G59" s="78" t="s">
        <v>799</v>
      </c>
      <c r="H59" s="70" t="s">
        <v>786</v>
      </c>
      <c r="I59" s="70" t="s">
        <v>787</v>
      </c>
      <c r="J59" s="70" t="s">
        <v>788</v>
      </c>
      <c r="K59" s="70" t="s">
        <v>712</v>
      </c>
      <c r="L59" s="80">
        <v>5</v>
      </c>
      <c r="M59" s="70" t="s">
        <v>693</v>
      </c>
      <c r="N59" s="70" t="s">
        <v>694</v>
      </c>
      <c r="O59" s="76">
        <v>10</v>
      </c>
      <c r="P59" s="159" t="s">
        <v>791</v>
      </c>
      <c r="Q59" s="158">
        <v>45490</v>
      </c>
      <c r="R59" s="68"/>
      <c r="S59" s="106"/>
    </row>
    <row r="60" spans="2:19" ht="78.75" customHeight="1" x14ac:dyDescent="0.3">
      <c r="B60" s="105" t="s">
        <v>800</v>
      </c>
      <c r="C60" s="68" t="s">
        <v>585</v>
      </c>
      <c r="D60" s="68" t="s">
        <v>451</v>
      </c>
      <c r="E60" s="78" t="s">
        <v>531</v>
      </c>
      <c r="F60" s="78" t="s">
        <v>801</v>
      </c>
      <c r="G60" s="78" t="s">
        <v>802</v>
      </c>
      <c r="H60" s="70" t="s">
        <v>710</v>
      </c>
      <c r="I60" s="70" t="s">
        <v>690</v>
      </c>
      <c r="J60" s="70" t="s">
        <v>711</v>
      </c>
      <c r="K60" s="70" t="s">
        <v>712</v>
      </c>
      <c r="L60" s="80">
        <v>5</v>
      </c>
      <c r="M60" s="70" t="s">
        <v>803</v>
      </c>
      <c r="N60" s="70" t="s">
        <v>694</v>
      </c>
      <c r="O60" s="76">
        <v>9</v>
      </c>
      <c r="P60" s="159" t="s">
        <v>791</v>
      </c>
      <c r="Q60" s="158">
        <v>45729</v>
      </c>
      <c r="R60" s="223"/>
      <c r="S60" s="106"/>
    </row>
    <row r="61" spans="2:19" ht="78.75" hidden="1" customHeight="1" x14ac:dyDescent="0.3">
      <c r="B61" s="119" t="s">
        <v>804</v>
      </c>
      <c r="C61" s="120" t="s">
        <v>486</v>
      </c>
      <c r="D61" s="120" t="s">
        <v>451</v>
      </c>
      <c r="E61" s="121" t="s">
        <v>724</v>
      </c>
      <c r="F61" s="147" t="s">
        <v>805</v>
      </c>
      <c r="G61" s="147" t="s">
        <v>806</v>
      </c>
      <c r="H61" s="147" t="s">
        <v>710</v>
      </c>
      <c r="I61" s="147" t="s">
        <v>690</v>
      </c>
      <c r="J61" s="147" t="s">
        <v>711</v>
      </c>
      <c r="K61" s="147" t="s">
        <v>712</v>
      </c>
      <c r="L61" s="126" t="s">
        <v>807</v>
      </c>
      <c r="M61" s="147" t="s">
        <v>803</v>
      </c>
      <c r="N61" s="147" t="s">
        <v>638</v>
      </c>
      <c r="O61" s="148">
        <v>10</v>
      </c>
      <c r="P61" s="120" t="s">
        <v>808</v>
      </c>
      <c r="Q61" s="120"/>
      <c r="R61" s="149" t="s">
        <v>809</v>
      </c>
      <c r="S61" s="127"/>
    </row>
    <row r="62" spans="2:19" ht="78.75" hidden="1" customHeight="1" x14ac:dyDescent="0.3">
      <c r="B62" s="119" t="s">
        <v>810</v>
      </c>
      <c r="C62" s="120" t="s">
        <v>486</v>
      </c>
      <c r="D62" s="120" t="s">
        <v>451</v>
      </c>
      <c r="E62" s="121" t="s">
        <v>724</v>
      </c>
      <c r="F62" s="147" t="s">
        <v>805</v>
      </c>
      <c r="G62" s="147" t="s">
        <v>811</v>
      </c>
      <c r="H62" s="147" t="s">
        <v>710</v>
      </c>
      <c r="I62" s="147" t="s">
        <v>690</v>
      </c>
      <c r="J62" s="147" t="s">
        <v>711</v>
      </c>
      <c r="K62" s="147" t="s">
        <v>712</v>
      </c>
      <c r="L62" s="126" t="s">
        <v>807</v>
      </c>
      <c r="M62" s="147" t="s">
        <v>803</v>
      </c>
      <c r="N62" s="147" t="s">
        <v>638</v>
      </c>
      <c r="O62" s="148" t="s">
        <v>812</v>
      </c>
      <c r="P62" s="120" t="s">
        <v>808</v>
      </c>
      <c r="Q62" s="120"/>
      <c r="R62" s="149" t="s">
        <v>809</v>
      </c>
      <c r="S62" s="127"/>
    </row>
    <row r="63" spans="2:19" ht="78.75" hidden="1" customHeight="1" x14ac:dyDescent="0.3">
      <c r="B63" s="119" t="s">
        <v>813</v>
      </c>
      <c r="C63" s="120" t="s">
        <v>486</v>
      </c>
      <c r="D63" s="120" t="s">
        <v>451</v>
      </c>
      <c r="E63" s="121" t="s">
        <v>724</v>
      </c>
      <c r="F63" s="147" t="s">
        <v>814</v>
      </c>
      <c r="G63" s="147" t="s">
        <v>815</v>
      </c>
      <c r="H63" s="147" t="s">
        <v>816</v>
      </c>
      <c r="I63" s="147" t="s">
        <v>817</v>
      </c>
      <c r="J63" s="147" t="s">
        <v>818</v>
      </c>
      <c r="K63" s="147" t="s">
        <v>819</v>
      </c>
      <c r="L63" s="126" t="s">
        <v>807</v>
      </c>
      <c r="M63" s="147" t="s">
        <v>820</v>
      </c>
      <c r="N63" s="147" t="s">
        <v>821</v>
      </c>
      <c r="O63" s="148">
        <v>10</v>
      </c>
      <c r="P63" s="120" t="s">
        <v>808</v>
      </c>
      <c r="Q63" s="120"/>
      <c r="R63" s="149" t="s">
        <v>809</v>
      </c>
      <c r="S63" s="127"/>
    </row>
    <row r="64" spans="2:19" ht="78.75" customHeight="1" x14ac:dyDescent="0.3">
      <c r="B64" s="105" t="s">
        <v>822</v>
      </c>
      <c r="C64" s="68" t="s">
        <v>585</v>
      </c>
      <c r="D64" s="68" t="s">
        <v>451</v>
      </c>
      <c r="E64" s="78" t="s">
        <v>696</v>
      </c>
      <c r="F64" s="70" t="s">
        <v>823</v>
      </c>
      <c r="G64" s="70" t="s">
        <v>824</v>
      </c>
      <c r="H64" s="70" t="s">
        <v>786</v>
      </c>
      <c r="I64" s="70" t="s">
        <v>787</v>
      </c>
      <c r="J64" s="70" t="s">
        <v>788</v>
      </c>
      <c r="K64" s="70" t="s">
        <v>730</v>
      </c>
      <c r="L64" s="80">
        <v>5</v>
      </c>
      <c r="M64" s="70" t="s">
        <v>825</v>
      </c>
      <c r="N64" s="70" t="s">
        <v>738</v>
      </c>
      <c r="O64" s="76">
        <v>9</v>
      </c>
      <c r="P64" s="159" t="s">
        <v>826</v>
      </c>
      <c r="Q64" s="158">
        <v>45973</v>
      </c>
      <c r="R64" s="68"/>
      <c r="S64" s="106"/>
    </row>
    <row r="65" spans="2:19" ht="78.75" customHeight="1" x14ac:dyDescent="0.3">
      <c r="B65" s="105" t="s">
        <v>827</v>
      </c>
      <c r="C65" s="68" t="s">
        <v>664</v>
      </c>
      <c r="D65" s="68" t="s">
        <v>451</v>
      </c>
      <c r="E65" s="78" t="s">
        <v>724</v>
      </c>
      <c r="F65" s="70" t="s">
        <v>828</v>
      </c>
      <c r="G65" s="70" t="s">
        <v>829</v>
      </c>
      <c r="H65" s="70" t="s">
        <v>830</v>
      </c>
      <c r="I65" s="70" t="s">
        <v>831</v>
      </c>
      <c r="J65" s="70" t="s">
        <v>832</v>
      </c>
      <c r="K65" s="70" t="s">
        <v>730</v>
      </c>
      <c r="L65" s="80">
        <v>5</v>
      </c>
      <c r="M65" s="70" t="s">
        <v>789</v>
      </c>
      <c r="N65" s="70" t="s">
        <v>833</v>
      </c>
      <c r="O65" s="76">
        <v>10</v>
      </c>
      <c r="P65" s="159" t="s">
        <v>834</v>
      </c>
      <c r="Q65" s="158">
        <v>45959</v>
      </c>
      <c r="R65" s="80" t="s">
        <v>835</v>
      </c>
      <c r="S65" s="106"/>
    </row>
    <row r="66" spans="2:19" ht="36" x14ac:dyDescent="0.3">
      <c r="B66" s="105" t="s">
        <v>836</v>
      </c>
      <c r="C66" s="68" t="s">
        <v>664</v>
      </c>
      <c r="D66" s="68" t="s">
        <v>451</v>
      </c>
      <c r="E66" s="78" t="s">
        <v>724</v>
      </c>
      <c r="F66" s="70" t="s">
        <v>837</v>
      </c>
      <c r="G66" s="70" t="s">
        <v>838</v>
      </c>
      <c r="H66" s="70" t="s">
        <v>786</v>
      </c>
      <c r="I66" s="70" t="s">
        <v>787</v>
      </c>
      <c r="J66" s="70" t="s">
        <v>788</v>
      </c>
      <c r="K66" s="70" t="s">
        <v>839</v>
      </c>
      <c r="L66" s="80">
        <v>5</v>
      </c>
      <c r="M66" s="70" t="s">
        <v>840</v>
      </c>
      <c r="N66" s="70" t="s">
        <v>841</v>
      </c>
      <c r="O66" s="76">
        <v>10</v>
      </c>
      <c r="P66" s="159" t="s">
        <v>834</v>
      </c>
      <c r="Q66" s="158">
        <v>45876</v>
      </c>
      <c r="R66" s="80" t="s">
        <v>842</v>
      </c>
      <c r="S66" s="106"/>
    </row>
    <row r="67" spans="2:19" ht="36" hidden="1" x14ac:dyDescent="0.3">
      <c r="B67" s="119" t="s">
        <v>843</v>
      </c>
      <c r="C67" s="120" t="s">
        <v>486</v>
      </c>
      <c r="D67" s="120" t="s">
        <v>452</v>
      </c>
      <c r="E67" s="121" t="s">
        <v>724</v>
      </c>
      <c r="F67" s="147" t="s">
        <v>844</v>
      </c>
      <c r="G67" s="147" t="s">
        <v>845</v>
      </c>
      <c r="H67" s="147" t="s">
        <v>786</v>
      </c>
      <c r="I67" s="147" t="s">
        <v>787</v>
      </c>
      <c r="J67" s="147" t="s">
        <v>788</v>
      </c>
      <c r="K67" s="147" t="s">
        <v>712</v>
      </c>
      <c r="L67" s="126" t="s">
        <v>807</v>
      </c>
      <c r="M67" s="147" t="s">
        <v>846</v>
      </c>
      <c r="N67" s="147" t="s">
        <v>514</v>
      </c>
      <c r="O67" s="125">
        <v>10</v>
      </c>
      <c r="P67" s="120" t="s">
        <v>847</v>
      </c>
      <c r="Q67" s="120" t="s">
        <v>684</v>
      </c>
      <c r="R67" s="126" t="s">
        <v>848</v>
      </c>
      <c r="S67" s="127"/>
    </row>
    <row r="68" spans="2:19" ht="78.75" customHeight="1" x14ac:dyDescent="0.3">
      <c r="B68" s="105" t="s">
        <v>849</v>
      </c>
      <c r="C68" s="68" t="s">
        <v>585</v>
      </c>
      <c r="D68" s="68" t="s">
        <v>451</v>
      </c>
      <c r="E68" s="78" t="s">
        <v>531</v>
      </c>
      <c r="F68" s="70" t="s">
        <v>850</v>
      </c>
      <c r="G68" s="70" t="s">
        <v>851</v>
      </c>
      <c r="H68" s="70" t="s">
        <v>852</v>
      </c>
      <c r="I68" s="70" t="s">
        <v>787</v>
      </c>
      <c r="J68" s="70" t="s">
        <v>853</v>
      </c>
      <c r="K68" s="70" t="s">
        <v>712</v>
      </c>
      <c r="L68" s="80">
        <v>5</v>
      </c>
      <c r="M68" s="70" t="s">
        <v>803</v>
      </c>
      <c r="N68" s="70" t="s">
        <v>694</v>
      </c>
      <c r="O68" s="76">
        <v>10</v>
      </c>
      <c r="P68" s="159" t="s">
        <v>854</v>
      </c>
      <c r="Q68" s="158">
        <v>45979</v>
      </c>
      <c r="R68" s="80"/>
      <c r="S68" s="106"/>
    </row>
    <row r="69" spans="2:19" ht="78.75" customHeight="1" x14ac:dyDescent="0.3">
      <c r="B69" s="105" t="s">
        <v>855</v>
      </c>
      <c r="C69" s="68" t="s">
        <v>585</v>
      </c>
      <c r="D69" s="68" t="s">
        <v>451</v>
      </c>
      <c r="E69" s="78" t="s">
        <v>531</v>
      </c>
      <c r="F69" s="70" t="s">
        <v>856</v>
      </c>
      <c r="G69" s="70" t="s">
        <v>857</v>
      </c>
      <c r="H69" s="70" t="s">
        <v>858</v>
      </c>
      <c r="I69" s="70" t="s">
        <v>859</v>
      </c>
      <c r="J69" s="70" t="s">
        <v>860</v>
      </c>
      <c r="K69" s="70" t="s">
        <v>730</v>
      </c>
      <c r="L69" s="80" t="s">
        <v>861</v>
      </c>
      <c r="M69" s="70" t="s">
        <v>862</v>
      </c>
      <c r="N69" s="70" t="s">
        <v>863</v>
      </c>
      <c r="O69" s="76">
        <v>10</v>
      </c>
      <c r="P69" s="79" t="s">
        <v>854</v>
      </c>
      <c r="Q69" s="158">
        <v>45973</v>
      </c>
      <c r="R69" s="79"/>
      <c r="S69" s="106"/>
    </row>
    <row r="70" spans="2:19" ht="78.75" customHeight="1" x14ac:dyDescent="0.3">
      <c r="B70" s="105" t="s">
        <v>864</v>
      </c>
      <c r="C70" s="68" t="s">
        <v>453</v>
      </c>
      <c r="D70" s="68" t="s">
        <v>451</v>
      </c>
      <c r="E70" s="78" t="s">
        <v>531</v>
      </c>
      <c r="F70" s="70" t="s">
        <v>865</v>
      </c>
      <c r="G70" s="70" t="s">
        <v>866</v>
      </c>
      <c r="H70" s="70" t="s">
        <v>710</v>
      </c>
      <c r="I70" s="70" t="s">
        <v>690</v>
      </c>
      <c r="J70" s="70" t="s">
        <v>711</v>
      </c>
      <c r="K70" s="70" t="s">
        <v>712</v>
      </c>
      <c r="L70" s="80">
        <v>5.0999999999999996</v>
      </c>
      <c r="M70" s="70" t="s">
        <v>862</v>
      </c>
      <c r="N70" s="70" t="s">
        <v>863</v>
      </c>
      <c r="O70" s="76">
        <v>11</v>
      </c>
      <c r="P70" s="159" t="s">
        <v>854</v>
      </c>
      <c r="Q70" s="158">
        <v>45729</v>
      </c>
      <c r="R70" s="114" t="s">
        <v>774</v>
      </c>
      <c r="S70" s="106"/>
    </row>
    <row r="71" spans="2:19" ht="78.75" customHeight="1" x14ac:dyDescent="0.3">
      <c r="B71" s="105" t="s">
        <v>867</v>
      </c>
      <c r="C71" s="68" t="s">
        <v>453</v>
      </c>
      <c r="D71" s="68" t="s">
        <v>451</v>
      </c>
      <c r="E71" s="78" t="s">
        <v>724</v>
      </c>
      <c r="F71" s="70" t="s">
        <v>868</v>
      </c>
      <c r="G71" s="70" t="s">
        <v>869</v>
      </c>
      <c r="H71" s="70" t="s">
        <v>673</v>
      </c>
      <c r="I71" s="70" t="s">
        <v>674</v>
      </c>
      <c r="J71" s="70" t="s">
        <v>675</v>
      </c>
      <c r="K71" s="70" t="s">
        <v>712</v>
      </c>
      <c r="L71" s="80">
        <v>5</v>
      </c>
      <c r="M71" s="70" t="s">
        <v>820</v>
      </c>
      <c r="N71" s="70" t="s">
        <v>638</v>
      </c>
      <c r="O71" s="76">
        <v>10</v>
      </c>
      <c r="P71" s="159" t="s">
        <v>854</v>
      </c>
      <c r="Q71" s="158">
        <v>45979</v>
      </c>
      <c r="R71" s="79"/>
      <c r="S71" s="106"/>
    </row>
    <row r="72" spans="2:19" ht="78.75" customHeight="1" x14ac:dyDescent="0.3">
      <c r="B72" s="105" t="s">
        <v>870</v>
      </c>
      <c r="C72" s="68" t="s">
        <v>453</v>
      </c>
      <c r="D72" s="68" t="s">
        <v>451</v>
      </c>
      <c r="E72" s="78" t="s">
        <v>724</v>
      </c>
      <c r="F72" s="70" t="s">
        <v>871</v>
      </c>
      <c r="G72" s="70" t="s">
        <v>872</v>
      </c>
      <c r="H72" s="70" t="s">
        <v>727</v>
      </c>
      <c r="I72" s="70" t="s">
        <v>728</v>
      </c>
      <c r="J72" s="70" t="s">
        <v>729</v>
      </c>
      <c r="K72" s="70" t="s">
        <v>712</v>
      </c>
      <c r="L72" s="80">
        <v>5</v>
      </c>
      <c r="M72" s="70" t="s">
        <v>637</v>
      </c>
      <c r="N72" s="70" t="s">
        <v>704</v>
      </c>
      <c r="O72" s="76">
        <v>11</v>
      </c>
      <c r="P72" s="159" t="s">
        <v>854</v>
      </c>
      <c r="Q72" s="158">
        <v>45974</v>
      </c>
      <c r="R72" s="114" t="s">
        <v>774</v>
      </c>
      <c r="S72" s="106"/>
    </row>
    <row r="73" spans="2:19" ht="78.75" customHeight="1" x14ac:dyDescent="0.3">
      <c r="B73" s="193" t="s">
        <v>873</v>
      </c>
      <c r="C73" s="83" t="s">
        <v>453</v>
      </c>
      <c r="D73" s="83" t="s">
        <v>451</v>
      </c>
      <c r="E73" s="82" t="s">
        <v>724</v>
      </c>
      <c r="F73" s="84" t="s">
        <v>874</v>
      </c>
      <c r="G73" s="84" t="s">
        <v>875</v>
      </c>
      <c r="H73" s="84" t="s">
        <v>816</v>
      </c>
      <c r="I73" s="84" t="s">
        <v>817</v>
      </c>
      <c r="J73" s="84" t="s">
        <v>818</v>
      </c>
      <c r="K73" s="84" t="s">
        <v>712</v>
      </c>
      <c r="L73" s="84">
        <v>5</v>
      </c>
      <c r="M73" s="84" t="s">
        <v>876</v>
      </c>
      <c r="N73" s="84" t="s">
        <v>790</v>
      </c>
      <c r="O73" s="86">
        <v>13</v>
      </c>
      <c r="P73" s="160" t="s">
        <v>854</v>
      </c>
      <c r="Q73" s="160">
        <v>45973</v>
      </c>
      <c r="R73" s="83" t="s">
        <v>877</v>
      </c>
      <c r="S73" s="108"/>
    </row>
    <row r="74" spans="2:19" ht="78.75" customHeight="1" x14ac:dyDescent="0.3">
      <c r="B74" s="193" t="s">
        <v>878</v>
      </c>
      <c r="C74" s="83" t="s">
        <v>453</v>
      </c>
      <c r="D74" s="83" t="s">
        <v>451</v>
      </c>
      <c r="E74" s="82" t="s">
        <v>724</v>
      </c>
      <c r="F74" s="84" t="s">
        <v>879</v>
      </c>
      <c r="G74" s="84" t="s">
        <v>880</v>
      </c>
      <c r="H74" s="84" t="s">
        <v>881</v>
      </c>
      <c r="I74" s="84" t="s">
        <v>882</v>
      </c>
      <c r="J74" s="84" t="s">
        <v>883</v>
      </c>
      <c r="K74" s="84" t="s">
        <v>712</v>
      </c>
      <c r="L74" s="84">
        <v>5</v>
      </c>
      <c r="M74" s="84" t="s">
        <v>876</v>
      </c>
      <c r="N74" s="84" t="s">
        <v>790</v>
      </c>
      <c r="O74" s="86">
        <v>11</v>
      </c>
      <c r="P74" s="160" t="s">
        <v>854</v>
      </c>
      <c r="Q74" s="160">
        <v>45979</v>
      </c>
      <c r="R74" s="83" t="s">
        <v>877</v>
      </c>
      <c r="S74" s="108"/>
    </row>
    <row r="75" spans="2:19" ht="78.75" customHeight="1" x14ac:dyDescent="0.3">
      <c r="B75" s="105" t="s">
        <v>884</v>
      </c>
      <c r="C75" s="68" t="s">
        <v>585</v>
      </c>
      <c r="D75" s="68" t="s">
        <v>451</v>
      </c>
      <c r="E75" s="78" t="s">
        <v>696</v>
      </c>
      <c r="F75" s="70" t="s">
        <v>885</v>
      </c>
      <c r="G75" s="70" t="s">
        <v>886</v>
      </c>
      <c r="H75" s="70" t="s">
        <v>887</v>
      </c>
      <c r="I75" s="70" t="s">
        <v>888</v>
      </c>
      <c r="J75" s="70" t="s">
        <v>889</v>
      </c>
      <c r="K75" s="70" t="s">
        <v>550</v>
      </c>
      <c r="L75" s="70">
        <v>5.0999999999999996</v>
      </c>
      <c r="M75" s="70" t="s">
        <v>890</v>
      </c>
      <c r="N75" s="70" t="s">
        <v>738</v>
      </c>
      <c r="O75" s="76">
        <v>10</v>
      </c>
      <c r="P75" s="159" t="s">
        <v>854</v>
      </c>
      <c r="Q75" s="158">
        <v>45973</v>
      </c>
      <c r="R75" s="79"/>
      <c r="S75" s="106"/>
    </row>
    <row r="76" spans="2:19" ht="78.75" customHeight="1" x14ac:dyDescent="0.3">
      <c r="B76" s="105" t="s">
        <v>891</v>
      </c>
      <c r="C76" s="68" t="s">
        <v>585</v>
      </c>
      <c r="D76" s="68" t="s">
        <v>451</v>
      </c>
      <c r="E76" s="78" t="s">
        <v>696</v>
      </c>
      <c r="F76" s="70" t="s">
        <v>892</v>
      </c>
      <c r="G76" s="70" t="s">
        <v>893</v>
      </c>
      <c r="H76" s="70" t="s">
        <v>894</v>
      </c>
      <c r="I76" s="70" t="s">
        <v>895</v>
      </c>
      <c r="J76" s="70" t="s">
        <v>896</v>
      </c>
      <c r="K76" s="70" t="s">
        <v>712</v>
      </c>
      <c r="L76" s="70">
        <v>5.0999999999999996</v>
      </c>
      <c r="M76" s="70" t="s">
        <v>897</v>
      </c>
      <c r="N76" s="70" t="s">
        <v>790</v>
      </c>
      <c r="O76" s="76">
        <v>10</v>
      </c>
      <c r="P76" s="79" t="s">
        <v>854</v>
      </c>
      <c r="Q76" s="158">
        <v>45545</v>
      </c>
      <c r="R76" s="117" t="s">
        <v>774</v>
      </c>
      <c r="S76" s="106"/>
    </row>
    <row r="77" spans="2:19" ht="78.75" customHeight="1" x14ac:dyDescent="0.3">
      <c r="B77" s="105" t="s">
        <v>898</v>
      </c>
      <c r="C77" s="68" t="s">
        <v>664</v>
      </c>
      <c r="D77" s="68" t="s">
        <v>451</v>
      </c>
      <c r="E77" s="78" t="s">
        <v>696</v>
      </c>
      <c r="F77" s="70" t="s">
        <v>899</v>
      </c>
      <c r="G77" s="70" t="s">
        <v>900</v>
      </c>
      <c r="H77" s="70" t="s">
        <v>816</v>
      </c>
      <c r="I77" s="70" t="s">
        <v>901</v>
      </c>
      <c r="J77" s="70" t="s">
        <v>818</v>
      </c>
      <c r="K77" s="70" t="s">
        <v>712</v>
      </c>
      <c r="L77" s="70">
        <v>5.0999999999999996</v>
      </c>
      <c r="M77" s="70" t="s">
        <v>897</v>
      </c>
      <c r="N77" s="70" t="s">
        <v>790</v>
      </c>
      <c r="O77" s="76">
        <v>10</v>
      </c>
      <c r="P77" s="79" t="s">
        <v>854</v>
      </c>
      <c r="Q77" s="158">
        <v>45545</v>
      </c>
      <c r="R77" s="114" t="s">
        <v>774</v>
      </c>
      <c r="S77" s="106"/>
    </row>
    <row r="78" spans="2:19" ht="78.75" customHeight="1" x14ac:dyDescent="0.3">
      <c r="B78" s="107" t="s">
        <v>902</v>
      </c>
      <c r="C78" s="83" t="s">
        <v>664</v>
      </c>
      <c r="D78" s="83" t="s">
        <v>451</v>
      </c>
      <c r="E78" s="82" t="s">
        <v>622</v>
      </c>
      <c r="F78" s="84" t="s">
        <v>903</v>
      </c>
      <c r="G78" s="84" t="s">
        <v>904</v>
      </c>
      <c r="H78" s="84" t="s">
        <v>905</v>
      </c>
      <c r="I78" s="84" t="s">
        <v>906</v>
      </c>
      <c r="J78" s="84" t="s">
        <v>907</v>
      </c>
      <c r="K78" s="84" t="s">
        <v>712</v>
      </c>
      <c r="L78" s="84">
        <v>5</v>
      </c>
      <c r="M78" s="84" t="s">
        <v>908</v>
      </c>
      <c r="N78" s="84" t="s">
        <v>738</v>
      </c>
      <c r="O78" s="86">
        <v>13</v>
      </c>
      <c r="P78" s="160" t="s">
        <v>854</v>
      </c>
      <c r="Q78" s="160">
        <v>45490</v>
      </c>
      <c r="R78" s="87" t="s">
        <v>756</v>
      </c>
      <c r="S78" s="108"/>
    </row>
    <row r="79" spans="2:19" ht="78.75" customHeight="1" x14ac:dyDescent="0.3">
      <c r="B79" s="105" t="s">
        <v>909</v>
      </c>
      <c r="C79" s="68" t="s">
        <v>585</v>
      </c>
      <c r="D79" s="68" t="s">
        <v>451</v>
      </c>
      <c r="E79" s="78" t="s">
        <v>696</v>
      </c>
      <c r="F79" s="70" t="s">
        <v>910</v>
      </c>
      <c r="G79" s="70" t="s">
        <v>911</v>
      </c>
      <c r="H79" s="70" t="s">
        <v>912</v>
      </c>
      <c r="I79" s="70" t="s">
        <v>913</v>
      </c>
      <c r="J79" s="70" t="s">
        <v>914</v>
      </c>
      <c r="K79" s="70" t="s">
        <v>550</v>
      </c>
      <c r="L79" s="80" t="s">
        <v>807</v>
      </c>
      <c r="M79" s="70" t="s">
        <v>890</v>
      </c>
      <c r="N79" s="70" t="s">
        <v>738</v>
      </c>
      <c r="O79" s="76">
        <v>10</v>
      </c>
      <c r="P79" s="159" t="s">
        <v>854</v>
      </c>
      <c r="Q79" s="158">
        <v>45729</v>
      </c>
      <c r="R79" s="223"/>
      <c r="S79" s="106"/>
    </row>
    <row r="80" spans="2:19" ht="78.75" customHeight="1" x14ac:dyDescent="0.3">
      <c r="B80" s="105" t="s">
        <v>915</v>
      </c>
      <c r="C80" s="68" t="s">
        <v>585</v>
      </c>
      <c r="D80" s="68" t="s">
        <v>451</v>
      </c>
      <c r="E80" s="78" t="s">
        <v>696</v>
      </c>
      <c r="F80" s="70" t="s">
        <v>916</v>
      </c>
      <c r="G80" s="70" t="s">
        <v>917</v>
      </c>
      <c r="H80" s="70" t="s">
        <v>918</v>
      </c>
      <c r="I80" s="70" t="s">
        <v>919</v>
      </c>
      <c r="J80" s="70" t="s">
        <v>920</v>
      </c>
      <c r="K80" s="70" t="s">
        <v>550</v>
      </c>
      <c r="L80" s="80">
        <v>4.2</v>
      </c>
      <c r="M80" s="70" t="s">
        <v>737</v>
      </c>
      <c r="N80" s="70" t="s">
        <v>738</v>
      </c>
      <c r="O80" s="76">
        <v>9</v>
      </c>
      <c r="P80" s="159" t="s">
        <v>854</v>
      </c>
      <c r="Q80" s="158">
        <v>45974</v>
      </c>
      <c r="R80" s="79"/>
      <c r="S80" s="106"/>
    </row>
    <row r="81" spans="2:19" ht="78.75" customHeight="1" x14ac:dyDescent="0.3">
      <c r="B81" s="105" t="s">
        <v>921</v>
      </c>
      <c r="C81" s="68" t="s">
        <v>453</v>
      </c>
      <c r="D81" s="68" t="s">
        <v>451</v>
      </c>
      <c r="E81" s="78" t="s">
        <v>922</v>
      </c>
      <c r="F81" s="70" t="s">
        <v>923</v>
      </c>
      <c r="G81" s="70" t="s">
        <v>924</v>
      </c>
      <c r="H81" s="70" t="s">
        <v>925</v>
      </c>
      <c r="I81" s="70" t="s">
        <v>926</v>
      </c>
      <c r="J81" s="70" t="s">
        <v>927</v>
      </c>
      <c r="K81" s="70" t="s">
        <v>550</v>
      </c>
      <c r="L81" s="75">
        <v>5</v>
      </c>
      <c r="M81" s="70" t="s">
        <v>575</v>
      </c>
      <c r="N81" s="70" t="s">
        <v>928</v>
      </c>
      <c r="O81" s="76">
        <v>11</v>
      </c>
      <c r="P81" s="159" t="s">
        <v>854</v>
      </c>
      <c r="Q81" s="158">
        <v>45490</v>
      </c>
      <c r="R81" s="79"/>
      <c r="S81" s="106"/>
    </row>
    <row r="82" spans="2:19" ht="78.75" customHeight="1" x14ac:dyDescent="0.3">
      <c r="B82" s="105" t="s">
        <v>929</v>
      </c>
      <c r="C82" s="68" t="s">
        <v>453</v>
      </c>
      <c r="D82" s="68" t="s">
        <v>451</v>
      </c>
      <c r="E82" s="78" t="s">
        <v>930</v>
      </c>
      <c r="F82" s="70" t="s">
        <v>931</v>
      </c>
      <c r="G82" s="70" t="s">
        <v>932</v>
      </c>
      <c r="H82" s="70" t="s">
        <v>933</v>
      </c>
      <c r="I82" s="70" t="s">
        <v>934</v>
      </c>
      <c r="J82" s="72" t="s">
        <v>927</v>
      </c>
      <c r="K82" s="70" t="s">
        <v>550</v>
      </c>
      <c r="L82" s="75">
        <v>5</v>
      </c>
      <c r="M82" s="70" t="s">
        <v>575</v>
      </c>
      <c r="N82" s="70" t="s">
        <v>935</v>
      </c>
      <c r="O82" s="76">
        <v>9</v>
      </c>
      <c r="P82" s="159" t="s">
        <v>854</v>
      </c>
      <c r="Q82" s="158">
        <v>45490</v>
      </c>
      <c r="R82" s="79"/>
      <c r="S82" s="106"/>
    </row>
    <row r="83" spans="2:19" ht="78.75" customHeight="1" x14ac:dyDescent="0.3">
      <c r="B83" s="105" t="s">
        <v>936</v>
      </c>
      <c r="C83" s="68" t="s">
        <v>453</v>
      </c>
      <c r="D83" s="68" t="s">
        <v>451</v>
      </c>
      <c r="E83" s="78" t="s">
        <v>930</v>
      </c>
      <c r="F83" s="70" t="s">
        <v>937</v>
      </c>
      <c r="G83" s="70" t="s">
        <v>938</v>
      </c>
      <c r="H83" s="70" t="s">
        <v>710</v>
      </c>
      <c r="I83" s="70" t="s">
        <v>690</v>
      </c>
      <c r="J83" s="70" t="s">
        <v>711</v>
      </c>
      <c r="K83" s="70" t="s">
        <v>550</v>
      </c>
      <c r="L83" s="80">
        <v>5</v>
      </c>
      <c r="M83" s="70" t="s">
        <v>628</v>
      </c>
      <c r="N83" s="70" t="s">
        <v>765</v>
      </c>
      <c r="O83" s="76">
        <v>9</v>
      </c>
      <c r="P83" s="159" t="s">
        <v>854</v>
      </c>
      <c r="Q83" s="158">
        <v>45490</v>
      </c>
      <c r="R83" s="114" t="s">
        <v>774</v>
      </c>
      <c r="S83" s="106"/>
    </row>
    <row r="84" spans="2:19" ht="78.75" customHeight="1" x14ac:dyDescent="0.3">
      <c r="B84" s="105" t="s">
        <v>939</v>
      </c>
      <c r="C84" s="68" t="s">
        <v>453</v>
      </c>
      <c r="D84" s="68" t="s">
        <v>451</v>
      </c>
      <c r="E84" s="78" t="s">
        <v>940</v>
      </c>
      <c r="F84" s="70" t="s">
        <v>941</v>
      </c>
      <c r="G84" s="70" t="s">
        <v>942</v>
      </c>
      <c r="H84" s="70" t="s">
        <v>943</v>
      </c>
      <c r="I84" s="70" t="s">
        <v>944</v>
      </c>
      <c r="J84" s="70" t="s">
        <v>945</v>
      </c>
      <c r="K84" s="70" t="s">
        <v>504</v>
      </c>
      <c r="L84" s="71">
        <v>4.2</v>
      </c>
      <c r="M84" s="70" t="s">
        <v>637</v>
      </c>
      <c r="N84" s="70" t="s">
        <v>704</v>
      </c>
      <c r="O84" s="76">
        <v>10</v>
      </c>
      <c r="P84" s="159" t="s">
        <v>854</v>
      </c>
      <c r="Q84" s="158">
        <v>45490</v>
      </c>
      <c r="R84" s="79"/>
      <c r="S84" s="106"/>
    </row>
    <row r="85" spans="2:19" ht="78.75" customHeight="1" x14ac:dyDescent="0.3">
      <c r="B85" s="105" t="s">
        <v>946</v>
      </c>
      <c r="C85" s="68" t="s">
        <v>664</v>
      </c>
      <c r="D85" s="68" t="s">
        <v>451</v>
      </c>
      <c r="E85" s="78" t="s">
        <v>758</v>
      </c>
      <c r="F85" s="70" t="s">
        <v>947</v>
      </c>
      <c r="G85" s="70" t="s">
        <v>948</v>
      </c>
      <c r="H85" s="70" t="s">
        <v>949</v>
      </c>
      <c r="I85" s="70" t="s">
        <v>950</v>
      </c>
      <c r="J85" s="70" t="s">
        <v>951</v>
      </c>
      <c r="K85" s="70" t="s">
        <v>550</v>
      </c>
      <c r="L85" s="80" t="s">
        <v>807</v>
      </c>
      <c r="M85" s="70" t="s">
        <v>876</v>
      </c>
      <c r="N85" s="70" t="s">
        <v>738</v>
      </c>
      <c r="O85" s="76">
        <v>9</v>
      </c>
      <c r="P85" s="159" t="s">
        <v>854</v>
      </c>
      <c r="Q85" s="158">
        <v>45998</v>
      </c>
      <c r="R85" s="79" t="s">
        <v>667</v>
      </c>
      <c r="S85" s="106"/>
    </row>
    <row r="86" spans="2:19" ht="78.75" customHeight="1" x14ac:dyDescent="0.3">
      <c r="B86" s="105" t="s">
        <v>952</v>
      </c>
      <c r="C86" s="68" t="s">
        <v>453</v>
      </c>
      <c r="D86" s="68" t="s">
        <v>451</v>
      </c>
      <c r="E86" s="78" t="s">
        <v>922</v>
      </c>
      <c r="F86" s="70" t="s">
        <v>953</v>
      </c>
      <c r="G86" s="70" t="s">
        <v>954</v>
      </c>
      <c r="H86" s="70" t="s">
        <v>955</v>
      </c>
      <c r="I86" s="70" t="s">
        <v>956</v>
      </c>
      <c r="J86" s="70" t="s">
        <v>957</v>
      </c>
      <c r="K86" s="70" t="s">
        <v>504</v>
      </c>
      <c r="L86" s="71">
        <v>4.2</v>
      </c>
      <c r="M86" s="70" t="s">
        <v>615</v>
      </c>
      <c r="N86" s="70" t="s">
        <v>494</v>
      </c>
      <c r="O86" s="88" t="s">
        <v>958</v>
      </c>
      <c r="P86" s="159" t="s">
        <v>854</v>
      </c>
      <c r="Q86" s="158">
        <v>45490</v>
      </c>
      <c r="R86" s="79"/>
      <c r="S86" s="106"/>
    </row>
    <row r="87" spans="2:19" ht="78.75" customHeight="1" x14ac:dyDescent="0.3">
      <c r="B87" s="105" t="s">
        <v>959</v>
      </c>
      <c r="C87" s="68" t="s">
        <v>453</v>
      </c>
      <c r="D87" s="68" t="s">
        <v>451</v>
      </c>
      <c r="E87" s="78" t="s">
        <v>922</v>
      </c>
      <c r="F87" s="70" t="s">
        <v>960</v>
      </c>
      <c r="G87" s="70" t="s">
        <v>961</v>
      </c>
      <c r="H87" s="70" t="s">
        <v>710</v>
      </c>
      <c r="I87" s="70" t="s">
        <v>690</v>
      </c>
      <c r="J87" s="70" t="s">
        <v>711</v>
      </c>
      <c r="K87" s="70" t="s">
        <v>550</v>
      </c>
      <c r="L87" s="80">
        <v>5</v>
      </c>
      <c r="M87" s="70" t="s">
        <v>962</v>
      </c>
      <c r="N87" s="70" t="s">
        <v>731</v>
      </c>
      <c r="O87" s="76">
        <v>10</v>
      </c>
      <c r="P87" s="159" t="s">
        <v>854</v>
      </c>
      <c r="Q87" s="158">
        <v>45979</v>
      </c>
      <c r="R87" s="114" t="s">
        <v>774</v>
      </c>
      <c r="S87" s="106"/>
    </row>
    <row r="88" spans="2:19" ht="78.75" customHeight="1" x14ac:dyDescent="0.3">
      <c r="B88" s="105" t="s">
        <v>963</v>
      </c>
      <c r="C88" s="68" t="s">
        <v>585</v>
      </c>
      <c r="D88" s="68" t="s">
        <v>964</v>
      </c>
      <c r="E88" s="78" t="s">
        <v>474</v>
      </c>
      <c r="F88" s="70" t="s">
        <v>965</v>
      </c>
      <c r="G88" s="70" t="s">
        <v>966</v>
      </c>
      <c r="H88" s="70" t="s">
        <v>967</v>
      </c>
      <c r="I88" s="70" t="s">
        <v>968</v>
      </c>
      <c r="J88" s="70" t="s">
        <v>969</v>
      </c>
      <c r="K88" s="70" t="s">
        <v>712</v>
      </c>
      <c r="L88" s="80">
        <v>5.0999999999999996</v>
      </c>
      <c r="M88" s="70" t="s">
        <v>970</v>
      </c>
      <c r="N88" s="70" t="s">
        <v>971</v>
      </c>
      <c r="O88" s="76">
        <v>12</v>
      </c>
      <c r="P88" s="159" t="s">
        <v>972</v>
      </c>
      <c r="Q88" s="158">
        <v>45979</v>
      </c>
      <c r="R88" s="114" t="s">
        <v>774</v>
      </c>
      <c r="S88" s="106"/>
    </row>
    <row r="89" spans="2:19" ht="78.75" customHeight="1" x14ac:dyDescent="0.3">
      <c r="B89" s="105" t="s">
        <v>973</v>
      </c>
      <c r="C89" s="68" t="s">
        <v>585</v>
      </c>
      <c r="D89" s="68" t="s">
        <v>964</v>
      </c>
      <c r="E89" s="78" t="s">
        <v>474</v>
      </c>
      <c r="F89" s="70" t="s">
        <v>974</v>
      </c>
      <c r="G89" s="70" t="s">
        <v>975</v>
      </c>
      <c r="H89" s="70" t="s">
        <v>976</v>
      </c>
      <c r="I89" s="70" t="s">
        <v>977</v>
      </c>
      <c r="J89" s="70" t="s">
        <v>978</v>
      </c>
      <c r="K89" s="70" t="s">
        <v>730</v>
      </c>
      <c r="L89" s="80">
        <v>5.2</v>
      </c>
      <c r="M89" s="70" t="s">
        <v>979</v>
      </c>
      <c r="N89" s="70" t="s">
        <v>980</v>
      </c>
      <c r="O89" s="76">
        <v>12</v>
      </c>
      <c r="P89" s="159" t="s">
        <v>972</v>
      </c>
      <c r="Q89" s="158">
        <v>45973</v>
      </c>
      <c r="R89" s="79"/>
      <c r="S89" s="106"/>
    </row>
    <row r="90" spans="2:19" ht="78.75" customHeight="1" x14ac:dyDescent="0.3">
      <c r="B90" s="105" t="s">
        <v>981</v>
      </c>
      <c r="C90" s="68" t="s">
        <v>585</v>
      </c>
      <c r="D90" s="68" t="s">
        <v>964</v>
      </c>
      <c r="E90" s="78" t="s">
        <v>474</v>
      </c>
      <c r="F90" s="70" t="s">
        <v>982</v>
      </c>
      <c r="G90" s="70" t="s">
        <v>983</v>
      </c>
      <c r="H90" s="70" t="s">
        <v>984</v>
      </c>
      <c r="I90" s="70" t="s">
        <v>985</v>
      </c>
      <c r="J90" s="70" t="s">
        <v>986</v>
      </c>
      <c r="K90" s="70" t="s">
        <v>987</v>
      </c>
      <c r="L90" s="80">
        <v>5</v>
      </c>
      <c r="M90" s="70" t="s">
        <v>988</v>
      </c>
      <c r="N90" s="70" t="s">
        <v>971</v>
      </c>
      <c r="O90" s="76">
        <v>12</v>
      </c>
      <c r="P90" s="159" t="s">
        <v>972</v>
      </c>
      <c r="Q90" s="158">
        <v>45973</v>
      </c>
      <c r="R90" s="79"/>
      <c r="S90" s="106"/>
    </row>
    <row r="91" spans="2:19" ht="78.75" customHeight="1" x14ac:dyDescent="0.3">
      <c r="B91" s="105" t="s">
        <v>989</v>
      </c>
      <c r="C91" s="79" t="s">
        <v>585</v>
      </c>
      <c r="D91" s="79" t="s">
        <v>964</v>
      </c>
      <c r="E91" s="78" t="s">
        <v>474</v>
      </c>
      <c r="F91" s="70" t="s">
        <v>990</v>
      </c>
      <c r="G91" s="70" t="s">
        <v>991</v>
      </c>
      <c r="H91" s="70" t="s">
        <v>992</v>
      </c>
      <c r="I91" s="70" t="s">
        <v>993</v>
      </c>
      <c r="J91" s="70" t="s">
        <v>994</v>
      </c>
      <c r="K91" s="70" t="s">
        <v>730</v>
      </c>
      <c r="L91" s="80">
        <v>5</v>
      </c>
      <c r="M91" s="70" t="s">
        <v>995</v>
      </c>
      <c r="N91" s="70" t="s">
        <v>971</v>
      </c>
      <c r="O91" s="76">
        <v>13</v>
      </c>
      <c r="P91" s="159" t="s">
        <v>972</v>
      </c>
      <c r="Q91" s="159">
        <v>45973</v>
      </c>
      <c r="R91" s="222"/>
      <c r="S91" s="106"/>
    </row>
    <row r="92" spans="2:19" ht="78.75" customHeight="1" x14ac:dyDescent="0.3">
      <c r="B92" s="105" t="s">
        <v>996</v>
      </c>
      <c r="C92" s="68" t="s">
        <v>585</v>
      </c>
      <c r="D92" s="68" t="s">
        <v>964</v>
      </c>
      <c r="E92" s="78" t="s">
        <v>474</v>
      </c>
      <c r="F92" s="70" t="s">
        <v>997</v>
      </c>
      <c r="G92" s="70" t="s">
        <v>998</v>
      </c>
      <c r="H92" s="70" t="s">
        <v>999</v>
      </c>
      <c r="I92" s="70" t="s">
        <v>1000</v>
      </c>
      <c r="J92" s="70" t="s">
        <v>1001</v>
      </c>
      <c r="K92" s="70" t="s">
        <v>550</v>
      </c>
      <c r="L92" s="80">
        <v>5</v>
      </c>
      <c r="M92" s="70" t="s">
        <v>970</v>
      </c>
      <c r="N92" s="70" t="s">
        <v>1002</v>
      </c>
      <c r="O92" s="76">
        <v>12</v>
      </c>
      <c r="P92" s="159" t="s">
        <v>972</v>
      </c>
      <c r="Q92" s="158">
        <v>45973</v>
      </c>
      <c r="R92" s="79"/>
      <c r="S92" s="106"/>
    </row>
    <row r="93" spans="2:19" ht="78.75" customHeight="1" x14ac:dyDescent="0.3">
      <c r="B93" s="105" t="s">
        <v>1003</v>
      </c>
      <c r="C93" s="68" t="s">
        <v>585</v>
      </c>
      <c r="D93" s="68" t="s">
        <v>964</v>
      </c>
      <c r="E93" s="78" t="s">
        <v>474</v>
      </c>
      <c r="F93" s="70" t="s">
        <v>1004</v>
      </c>
      <c r="G93" s="70" t="s">
        <v>1005</v>
      </c>
      <c r="H93" s="70" t="s">
        <v>1006</v>
      </c>
      <c r="I93" s="70" t="s">
        <v>1007</v>
      </c>
      <c r="J93" s="70" t="s">
        <v>1008</v>
      </c>
      <c r="K93" s="70" t="s">
        <v>839</v>
      </c>
      <c r="L93" s="80">
        <v>5</v>
      </c>
      <c r="M93" s="70" t="s">
        <v>1009</v>
      </c>
      <c r="N93" s="70" t="s">
        <v>1010</v>
      </c>
      <c r="O93" s="76">
        <v>12</v>
      </c>
      <c r="P93" s="159" t="s">
        <v>972</v>
      </c>
      <c r="Q93" s="158">
        <v>45979</v>
      </c>
      <c r="R93" s="79"/>
      <c r="S93" s="106"/>
    </row>
    <row r="94" spans="2:19" ht="78.75" customHeight="1" x14ac:dyDescent="0.3">
      <c r="B94" s="107" t="s">
        <v>1011</v>
      </c>
      <c r="C94" s="83" t="s">
        <v>453</v>
      </c>
      <c r="D94" s="83" t="s">
        <v>964</v>
      </c>
      <c r="E94" s="82" t="s">
        <v>1012</v>
      </c>
      <c r="F94" s="84" t="s">
        <v>1013</v>
      </c>
      <c r="G94" s="84" t="s">
        <v>1014</v>
      </c>
      <c r="H94" s="84" t="s">
        <v>1015</v>
      </c>
      <c r="I94" s="84" t="s">
        <v>1016</v>
      </c>
      <c r="J94" s="84" t="s">
        <v>1017</v>
      </c>
      <c r="K94" s="84" t="s">
        <v>712</v>
      </c>
      <c r="L94" s="87">
        <v>5.2</v>
      </c>
      <c r="M94" s="84" t="s">
        <v>979</v>
      </c>
      <c r="N94" s="84" t="s">
        <v>971</v>
      </c>
      <c r="O94" s="86">
        <v>17</v>
      </c>
      <c r="P94" s="160" t="s">
        <v>1018</v>
      </c>
      <c r="Q94" s="160">
        <v>46202</v>
      </c>
      <c r="R94" s="83" t="s">
        <v>2724</v>
      </c>
      <c r="S94" s="108"/>
    </row>
    <row r="95" spans="2:19" ht="78.75" customHeight="1" x14ac:dyDescent="0.3">
      <c r="B95" s="105" t="s">
        <v>1020</v>
      </c>
      <c r="C95" s="79" t="s">
        <v>453</v>
      </c>
      <c r="D95" s="79" t="s">
        <v>964</v>
      </c>
      <c r="E95" s="78" t="s">
        <v>1021</v>
      </c>
      <c r="F95" s="70" t="s">
        <v>1022</v>
      </c>
      <c r="G95" s="70" t="s">
        <v>1023</v>
      </c>
      <c r="H95" s="70" t="s">
        <v>1024</v>
      </c>
      <c r="I95" s="70" t="s">
        <v>1025</v>
      </c>
      <c r="J95" s="70" t="s">
        <v>1026</v>
      </c>
      <c r="K95" s="70" t="s">
        <v>730</v>
      </c>
      <c r="L95" s="80">
        <v>5.2</v>
      </c>
      <c r="M95" s="70" t="s">
        <v>1027</v>
      </c>
      <c r="N95" s="70" t="s">
        <v>971</v>
      </c>
      <c r="O95" s="76">
        <v>12</v>
      </c>
      <c r="P95" s="159" t="s">
        <v>1018</v>
      </c>
      <c r="Q95" s="158">
        <v>45974</v>
      </c>
      <c r="R95" s="79" t="s">
        <v>2728</v>
      </c>
      <c r="S95" s="106"/>
    </row>
    <row r="96" spans="2:19" ht="78.75" customHeight="1" x14ac:dyDescent="0.3">
      <c r="B96" s="105" t="s">
        <v>1028</v>
      </c>
      <c r="C96" s="68" t="s">
        <v>585</v>
      </c>
      <c r="D96" s="68" t="s">
        <v>964</v>
      </c>
      <c r="E96" s="78" t="s">
        <v>474</v>
      </c>
      <c r="F96" s="70" t="s">
        <v>1029</v>
      </c>
      <c r="G96" s="70" t="s">
        <v>1030</v>
      </c>
      <c r="H96" s="70" t="s">
        <v>816</v>
      </c>
      <c r="I96" s="70" t="s">
        <v>817</v>
      </c>
      <c r="J96" s="70" t="s">
        <v>818</v>
      </c>
      <c r="K96" s="70" t="s">
        <v>839</v>
      </c>
      <c r="L96" s="80">
        <v>5</v>
      </c>
      <c r="M96" s="70" t="s">
        <v>1031</v>
      </c>
      <c r="N96" s="70" t="s">
        <v>1032</v>
      </c>
      <c r="O96" s="76">
        <v>13</v>
      </c>
      <c r="P96" s="159" t="s">
        <v>972</v>
      </c>
      <c r="Q96" s="158">
        <v>45973</v>
      </c>
      <c r="R96" s="79"/>
      <c r="S96" s="106"/>
    </row>
    <row r="97" spans="2:19" ht="78.75" customHeight="1" x14ac:dyDescent="0.3">
      <c r="B97" s="105" t="s">
        <v>1033</v>
      </c>
      <c r="C97" s="68" t="s">
        <v>585</v>
      </c>
      <c r="D97" s="68" t="s">
        <v>964</v>
      </c>
      <c r="E97" s="78" t="s">
        <v>474</v>
      </c>
      <c r="F97" s="70" t="s">
        <v>1034</v>
      </c>
      <c r="G97" s="70" t="s">
        <v>1035</v>
      </c>
      <c r="H97" s="70" t="s">
        <v>816</v>
      </c>
      <c r="I97" s="70" t="s">
        <v>817</v>
      </c>
      <c r="J97" s="70" t="s">
        <v>818</v>
      </c>
      <c r="K97" s="70" t="s">
        <v>1036</v>
      </c>
      <c r="L97" s="80">
        <v>5</v>
      </c>
      <c r="M97" s="70" t="s">
        <v>988</v>
      </c>
      <c r="N97" s="70" t="s">
        <v>1032</v>
      </c>
      <c r="O97" s="76">
        <v>12</v>
      </c>
      <c r="P97" s="159" t="s">
        <v>972</v>
      </c>
      <c r="Q97" s="158">
        <v>45973</v>
      </c>
      <c r="R97" s="79"/>
      <c r="S97" s="106"/>
    </row>
    <row r="98" spans="2:19" ht="78.75" customHeight="1" x14ac:dyDescent="0.3">
      <c r="B98" s="105" t="s">
        <v>1037</v>
      </c>
      <c r="C98" s="79" t="s">
        <v>585</v>
      </c>
      <c r="D98" s="79" t="s">
        <v>964</v>
      </c>
      <c r="E98" s="78" t="s">
        <v>474</v>
      </c>
      <c r="F98" s="70" t="s">
        <v>1038</v>
      </c>
      <c r="G98" s="70" t="s">
        <v>1039</v>
      </c>
      <c r="H98" s="70" t="s">
        <v>816</v>
      </c>
      <c r="I98" s="70" t="s">
        <v>817</v>
      </c>
      <c r="J98" s="70" t="s">
        <v>818</v>
      </c>
      <c r="K98" s="70" t="s">
        <v>987</v>
      </c>
      <c r="L98" s="80">
        <v>5</v>
      </c>
      <c r="M98" s="70" t="s">
        <v>995</v>
      </c>
      <c r="N98" s="70" t="s">
        <v>1032</v>
      </c>
      <c r="O98" s="76">
        <v>12</v>
      </c>
      <c r="P98" s="159" t="s">
        <v>972</v>
      </c>
      <c r="Q98" s="158">
        <v>45973</v>
      </c>
      <c r="R98" s="79"/>
      <c r="S98" s="106"/>
    </row>
    <row r="99" spans="2:19" ht="78.75" customHeight="1" x14ac:dyDescent="0.3">
      <c r="B99" s="105" t="s">
        <v>1040</v>
      </c>
      <c r="C99" s="68" t="s">
        <v>585</v>
      </c>
      <c r="D99" s="68" t="s">
        <v>452</v>
      </c>
      <c r="E99" s="78" t="s">
        <v>474</v>
      </c>
      <c r="F99" s="70" t="s">
        <v>1041</v>
      </c>
      <c r="G99" s="70" t="s">
        <v>1042</v>
      </c>
      <c r="H99" s="70" t="s">
        <v>984</v>
      </c>
      <c r="I99" s="70" t="s">
        <v>985</v>
      </c>
      <c r="J99" s="70" t="s">
        <v>986</v>
      </c>
      <c r="K99" s="70" t="s">
        <v>1043</v>
      </c>
      <c r="L99" s="80">
        <v>5</v>
      </c>
      <c r="M99" s="70" t="s">
        <v>1044</v>
      </c>
      <c r="N99" s="70" t="s">
        <v>1045</v>
      </c>
      <c r="O99" s="76">
        <v>12</v>
      </c>
      <c r="P99" s="159" t="s">
        <v>972</v>
      </c>
      <c r="Q99" s="158">
        <v>45490</v>
      </c>
      <c r="R99" s="79"/>
      <c r="S99" s="106"/>
    </row>
    <row r="100" spans="2:19" ht="78.75" customHeight="1" x14ac:dyDescent="0.3">
      <c r="B100" s="105" t="s">
        <v>1046</v>
      </c>
      <c r="C100" s="68" t="s">
        <v>585</v>
      </c>
      <c r="D100" s="68" t="s">
        <v>964</v>
      </c>
      <c r="E100" s="78" t="s">
        <v>474</v>
      </c>
      <c r="F100" s="70" t="s">
        <v>1047</v>
      </c>
      <c r="G100" s="70" t="s">
        <v>1048</v>
      </c>
      <c r="H100" s="70" t="s">
        <v>1049</v>
      </c>
      <c r="I100" s="70" t="s">
        <v>1050</v>
      </c>
      <c r="J100" s="70" t="s">
        <v>1051</v>
      </c>
      <c r="K100" s="70" t="s">
        <v>712</v>
      </c>
      <c r="L100" s="80">
        <v>5.2</v>
      </c>
      <c r="M100" s="70" t="s">
        <v>988</v>
      </c>
      <c r="N100" s="70" t="s">
        <v>1052</v>
      </c>
      <c r="O100" s="76">
        <v>12</v>
      </c>
      <c r="P100" s="159" t="s">
        <v>972</v>
      </c>
      <c r="Q100" s="158">
        <v>45973</v>
      </c>
      <c r="R100" s="79"/>
      <c r="S100" s="106"/>
    </row>
    <row r="101" spans="2:19" ht="78.75" customHeight="1" x14ac:dyDescent="0.3">
      <c r="B101" s="105" t="s">
        <v>1053</v>
      </c>
      <c r="C101" s="68" t="s">
        <v>585</v>
      </c>
      <c r="D101" s="68" t="s">
        <v>964</v>
      </c>
      <c r="E101" s="78" t="s">
        <v>474</v>
      </c>
      <c r="F101" s="70" t="s">
        <v>1054</v>
      </c>
      <c r="G101" s="70" t="s">
        <v>1055</v>
      </c>
      <c r="H101" s="70" t="s">
        <v>1056</v>
      </c>
      <c r="I101" s="70" t="s">
        <v>1057</v>
      </c>
      <c r="J101" s="70" t="s">
        <v>1058</v>
      </c>
      <c r="K101" s="70" t="s">
        <v>582</v>
      </c>
      <c r="L101" s="80">
        <v>5</v>
      </c>
      <c r="M101" s="70" t="s">
        <v>1059</v>
      </c>
      <c r="N101" s="70" t="s">
        <v>1002</v>
      </c>
      <c r="O101" s="76">
        <v>12</v>
      </c>
      <c r="P101" s="79" t="s">
        <v>972</v>
      </c>
      <c r="Q101" s="158">
        <v>45978</v>
      </c>
      <c r="R101" s="79"/>
      <c r="S101" s="106"/>
    </row>
    <row r="102" spans="2:19" ht="78.75" customHeight="1" x14ac:dyDescent="0.3">
      <c r="B102" s="105" t="s">
        <v>1060</v>
      </c>
      <c r="C102" s="79" t="s">
        <v>453</v>
      </c>
      <c r="D102" s="79" t="s">
        <v>964</v>
      </c>
      <c r="E102" s="78" t="s">
        <v>1061</v>
      </c>
      <c r="F102" s="70" t="s">
        <v>1062</v>
      </c>
      <c r="G102" s="70" t="s">
        <v>1063</v>
      </c>
      <c r="H102" s="70" t="s">
        <v>1064</v>
      </c>
      <c r="I102" s="70" t="s">
        <v>1065</v>
      </c>
      <c r="J102" s="70" t="s">
        <v>1066</v>
      </c>
      <c r="K102" s="70" t="s">
        <v>550</v>
      </c>
      <c r="L102" s="80">
        <v>5</v>
      </c>
      <c r="M102" s="70" t="s">
        <v>537</v>
      </c>
      <c r="N102" s="70" t="s">
        <v>1002</v>
      </c>
      <c r="O102" s="76">
        <v>11</v>
      </c>
      <c r="P102" s="159" t="s">
        <v>1067</v>
      </c>
      <c r="Q102" s="158">
        <v>45979</v>
      </c>
      <c r="R102" s="79"/>
      <c r="S102" s="106"/>
    </row>
    <row r="103" spans="2:19" ht="78.75" customHeight="1" x14ac:dyDescent="0.3">
      <c r="B103" s="105" t="s">
        <v>1068</v>
      </c>
      <c r="C103" s="79" t="s">
        <v>585</v>
      </c>
      <c r="D103" s="79" t="s">
        <v>964</v>
      </c>
      <c r="E103" s="78" t="s">
        <v>622</v>
      </c>
      <c r="F103" s="70" t="s">
        <v>1069</v>
      </c>
      <c r="G103" s="70" t="s">
        <v>1070</v>
      </c>
      <c r="H103" s="70" t="s">
        <v>1071</v>
      </c>
      <c r="I103" s="70" t="s">
        <v>1072</v>
      </c>
      <c r="J103" s="70" t="s">
        <v>1073</v>
      </c>
      <c r="K103" s="70" t="s">
        <v>987</v>
      </c>
      <c r="L103" s="80">
        <v>5.2</v>
      </c>
      <c r="M103" s="70" t="s">
        <v>737</v>
      </c>
      <c r="N103" s="70" t="s">
        <v>971</v>
      </c>
      <c r="O103" s="76">
        <v>13</v>
      </c>
      <c r="P103" s="79" t="s">
        <v>1074</v>
      </c>
      <c r="Q103" s="158">
        <v>45973</v>
      </c>
      <c r="R103" s="79"/>
      <c r="S103" s="106"/>
    </row>
    <row r="104" spans="2:19" ht="78.75" customHeight="1" x14ac:dyDescent="0.3">
      <c r="B104" s="105" t="s">
        <v>1075</v>
      </c>
      <c r="C104" s="79" t="s">
        <v>585</v>
      </c>
      <c r="D104" s="79" t="s">
        <v>964</v>
      </c>
      <c r="E104" s="78" t="s">
        <v>724</v>
      </c>
      <c r="F104" s="70" t="s">
        <v>1076</v>
      </c>
      <c r="G104" s="70" t="s">
        <v>1077</v>
      </c>
      <c r="H104" s="70" t="s">
        <v>992</v>
      </c>
      <c r="I104" s="70" t="s">
        <v>1078</v>
      </c>
      <c r="J104" s="70" t="s">
        <v>994</v>
      </c>
      <c r="K104" s="70" t="s">
        <v>730</v>
      </c>
      <c r="L104" s="80">
        <v>5</v>
      </c>
      <c r="M104" s="70" t="s">
        <v>789</v>
      </c>
      <c r="N104" s="70" t="s">
        <v>971</v>
      </c>
      <c r="O104" s="76">
        <v>13</v>
      </c>
      <c r="P104" s="159" t="s">
        <v>1074</v>
      </c>
      <c r="Q104" s="158">
        <v>45973</v>
      </c>
      <c r="R104" s="79"/>
      <c r="S104" s="106"/>
    </row>
    <row r="105" spans="2:19" ht="78.75" customHeight="1" x14ac:dyDescent="0.3">
      <c r="B105" s="105" t="s">
        <v>1079</v>
      </c>
      <c r="C105" s="79" t="s">
        <v>453</v>
      </c>
      <c r="D105" s="79" t="s">
        <v>452</v>
      </c>
      <c r="E105" s="78" t="s">
        <v>724</v>
      </c>
      <c r="F105" s="70" t="s">
        <v>1080</v>
      </c>
      <c r="G105" s="70" t="s">
        <v>1081</v>
      </c>
      <c r="H105" s="70" t="s">
        <v>1082</v>
      </c>
      <c r="I105" s="70" t="s">
        <v>977</v>
      </c>
      <c r="J105" s="70" t="s">
        <v>1083</v>
      </c>
      <c r="K105" s="70" t="s">
        <v>730</v>
      </c>
      <c r="L105" s="80">
        <v>5.2</v>
      </c>
      <c r="M105" s="70" t="s">
        <v>1084</v>
      </c>
      <c r="N105" s="70" t="s">
        <v>1085</v>
      </c>
      <c r="O105" s="76">
        <v>13</v>
      </c>
      <c r="P105" s="159" t="s">
        <v>1086</v>
      </c>
      <c r="Q105" s="158">
        <v>45979</v>
      </c>
      <c r="R105" s="79"/>
      <c r="S105" s="106"/>
    </row>
    <row r="106" spans="2:19" ht="78.75" customHeight="1" x14ac:dyDescent="0.3">
      <c r="B106" s="105" t="s">
        <v>1087</v>
      </c>
      <c r="C106" s="79" t="s">
        <v>585</v>
      </c>
      <c r="D106" s="79" t="s">
        <v>964</v>
      </c>
      <c r="E106" s="78" t="s">
        <v>696</v>
      </c>
      <c r="F106" s="70" t="s">
        <v>1088</v>
      </c>
      <c r="G106" s="70" t="s">
        <v>1089</v>
      </c>
      <c r="H106" s="70" t="s">
        <v>2632</v>
      </c>
      <c r="I106" s="70" t="s">
        <v>1091</v>
      </c>
      <c r="J106" s="70" t="s">
        <v>1092</v>
      </c>
      <c r="K106" s="70" t="s">
        <v>839</v>
      </c>
      <c r="L106" s="80">
        <v>5.4</v>
      </c>
      <c r="M106" s="70" t="s">
        <v>897</v>
      </c>
      <c r="N106" s="70" t="s">
        <v>1093</v>
      </c>
      <c r="O106" s="76">
        <v>14</v>
      </c>
      <c r="P106" s="159" t="s">
        <v>1094</v>
      </c>
      <c r="Q106" s="159">
        <v>45973</v>
      </c>
      <c r="R106" s="222"/>
      <c r="S106" s="106"/>
    </row>
    <row r="107" spans="2:19" ht="78.75" customHeight="1" x14ac:dyDescent="0.3">
      <c r="B107" s="105" t="s">
        <v>1095</v>
      </c>
      <c r="C107" s="79" t="s">
        <v>453</v>
      </c>
      <c r="D107" s="79" t="s">
        <v>964</v>
      </c>
      <c r="E107" s="78" t="s">
        <v>696</v>
      </c>
      <c r="F107" s="70" t="s">
        <v>1096</v>
      </c>
      <c r="G107" s="70" t="s">
        <v>1097</v>
      </c>
      <c r="H107" s="70" t="s">
        <v>1098</v>
      </c>
      <c r="I107" s="70" t="s">
        <v>1099</v>
      </c>
      <c r="J107" s="70" t="s">
        <v>1100</v>
      </c>
      <c r="K107" s="70" t="s">
        <v>730</v>
      </c>
      <c r="L107" s="80">
        <v>5.2</v>
      </c>
      <c r="M107" s="70" t="s">
        <v>897</v>
      </c>
      <c r="N107" s="70" t="s">
        <v>1093</v>
      </c>
      <c r="O107" s="76">
        <v>15</v>
      </c>
      <c r="P107" s="159" t="s">
        <v>1094</v>
      </c>
      <c r="Q107" s="159">
        <v>45973</v>
      </c>
      <c r="R107" s="79" t="s">
        <v>2728</v>
      </c>
      <c r="S107" s="106"/>
    </row>
    <row r="108" spans="2:19" ht="78.75" customHeight="1" x14ac:dyDescent="0.3">
      <c r="B108" s="105" t="s">
        <v>1101</v>
      </c>
      <c r="C108" s="79" t="s">
        <v>453</v>
      </c>
      <c r="D108" s="79" t="s">
        <v>964</v>
      </c>
      <c r="E108" s="78" t="s">
        <v>724</v>
      </c>
      <c r="F108" s="70" t="s">
        <v>1102</v>
      </c>
      <c r="G108" s="70" t="s">
        <v>1103</v>
      </c>
      <c r="H108" s="70" t="s">
        <v>1104</v>
      </c>
      <c r="I108" s="70" t="s">
        <v>1105</v>
      </c>
      <c r="J108" s="70" t="s">
        <v>1106</v>
      </c>
      <c r="K108" s="70" t="s">
        <v>730</v>
      </c>
      <c r="L108" s="80">
        <v>5.3</v>
      </c>
      <c r="M108" s="70" t="s">
        <v>1107</v>
      </c>
      <c r="N108" s="70" t="s">
        <v>980</v>
      </c>
      <c r="O108" s="76">
        <v>14</v>
      </c>
      <c r="P108" s="159" t="s">
        <v>1108</v>
      </c>
      <c r="Q108" s="159">
        <v>45979</v>
      </c>
      <c r="R108" s="79"/>
      <c r="S108" s="106"/>
    </row>
    <row r="109" spans="2:19" ht="78.75" customHeight="1" x14ac:dyDescent="0.3">
      <c r="B109" s="107" t="s">
        <v>1109</v>
      </c>
      <c r="C109" s="83" t="s">
        <v>453</v>
      </c>
      <c r="D109" s="83" t="s">
        <v>964</v>
      </c>
      <c r="E109" s="82" t="s">
        <v>622</v>
      </c>
      <c r="F109" s="84" t="s">
        <v>1110</v>
      </c>
      <c r="G109" s="84" t="s">
        <v>1110</v>
      </c>
      <c r="H109" s="84" t="s">
        <v>1111</v>
      </c>
      <c r="I109" s="84" t="s">
        <v>1112</v>
      </c>
      <c r="J109" s="84" t="s">
        <v>1113</v>
      </c>
      <c r="K109" s="84" t="s">
        <v>730</v>
      </c>
      <c r="L109" s="87">
        <v>5.2</v>
      </c>
      <c r="M109" s="84" t="s">
        <v>693</v>
      </c>
      <c r="N109" s="84" t="s">
        <v>971</v>
      </c>
      <c r="O109" s="86">
        <v>17</v>
      </c>
      <c r="P109" s="160" t="s">
        <v>1108</v>
      </c>
      <c r="Q109" s="160">
        <v>46156</v>
      </c>
      <c r="R109" s="83" t="s">
        <v>1019</v>
      </c>
      <c r="S109" s="108"/>
    </row>
    <row r="110" spans="2:19" ht="78.75" customHeight="1" x14ac:dyDescent="0.3">
      <c r="B110" s="105" t="s">
        <v>1114</v>
      </c>
      <c r="C110" s="79" t="s">
        <v>453</v>
      </c>
      <c r="D110" s="79" t="s">
        <v>964</v>
      </c>
      <c r="E110" s="78" t="s">
        <v>724</v>
      </c>
      <c r="F110" s="70" t="s">
        <v>1102</v>
      </c>
      <c r="G110" s="70" t="s">
        <v>1103</v>
      </c>
      <c r="H110" s="70" t="s">
        <v>1104</v>
      </c>
      <c r="I110" s="70" t="s">
        <v>1105</v>
      </c>
      <c r="J110" s="70" t="s">
        <v>1106</v>
      </c>
      <c r="K110" s="70" t="s">
        <v>730</v>
      </c>
      <c r="L110" s="80">
        <v>5.3</v>
      </c>
      <c r="M110" s="70" t="s">
        <v>1107</v>
      </c>
      <c r="N110" s="70" t="s">
        <v>980</v>
      </c>
      <c r="O110" s="76">
        <v>14</v>
      </c>
      <c r="P110" s="159" t="s">
        <v>1115</v>
      </c>
      <c r="Q110" s="159">
        <v>45973</v>
      </c>
      <c r="R110" s="298" t="s">
        <v>1116</v>
      </c>
      <c r="S110" s="106"/>
    </row>
    <row r="111" spans="2:19" ht="78.75" customHeight="1" x14ac:dyDescent="0.3">
      <c r="B111" s="105" t="s">
        <v>1117</v>
      </c>
      <c r="C111" s="79" t="s">
        <v>585</v>
      </c>
      <c r="D111" s="79" t="s">
        <v>964</v>
      </c>
      <c r="E111" s="78" t="s">
        <v>724</v>
      </c>
      <c r="F111" s="70" t="s">
        <v>1102</v>
      </c>
      <c r="G111" s="70" t="s">
        <v>1103</v>
      </c>
      <c r="H111" s="70" t="s">
        <v>1104</v>
      </c>
      <c r="I111" s="70" t="s">
        <v>1105</v>
      </c>
      <c r="J111" s="70" t="s">
        <v>1106</v>
      </c>
      <c r="K111" s="70" t="s">
        <v>730</v>
      </c>
      <c r="L111" s="80">
        <v>5.3</v>
      </c>
      <c r="M111" s="70" t="s">
        <v>1107</v>
      </c>
      <c r="N111" s="70" t="s">
        <v>980</v>
      </c>
      <c r="O111" s="76">
        <v>14</v>
      </c>
      <c r="P111" s="159" t="s">
        <v>1115</v>
      </c>
      <c r="Q111" s="159">
        <v>45737</v>
      </c>
      <c r="R111" s="222"/>
      <c r="S111" s="106"/>
    </row>
    <row r="112" spans="2:19" ht="78.75" customHeight="1" x14ac:dyDescent="0.3">
      <c r="B112" s="105" t="s">
        <v>1118</v>
      </c>
      <c r="C112" s="79" t="s">
        <v>585</v>
      </c>
      <c r="D112" s="79" t="s">
        <v>964</v>
      </c>
      <c r="E112" s="78" t="s">
        <v>724</v>
      </c>
      <c r="F112" s="70" t="s">
        <v>1102</v>
      </c>
      <c r="G112" s="70" t="s">
        <v>1103</v>
      </c>
      <c r="H112" s="70" t="s">
        <v>1104</v>
      </c>
      <c r="I112" s="70" t="s">
        <v>1105</v>
      </c>
      <c r="J112" s="70" t="s">
        <v>1106</v>
      </c>
      <c r="K112" s="70" t="s">
        <v>730</v>
      </c>
      <c r="L112" s="80">
        <v>5.3</v>
      </c>
      <c r="M112" s="70" t="s">
        <v>1107</v>
      </c>
      <c r="N112" s="70" t="s">
        <v>980</v>
      </c>
      <c r="O112" s="76">
        <v>14</v>
      </c>
      <c r="P112" s="159" t="s">
        <v>1119</v>
      </c>
      <c r="Q112" s="159">
        <v>45979</v>
      </c>
      <c r="R112" s="79"/>
      <c r="S112" s="106"/>
    </row>
    <row r="113" spans="2:19" ht="78.75" customHeight="1" x14ac:dyDescent="0.3">
      <c r="B113" s="105" t="s">
        <v>1120</v>
      </c>
      <c r="C113" s="79" t="s">
        <v>453</v>
      </c>
      <c r="D113" s="79" t="s">
        <v>964</v>
      </c>
      <c r="E113" s="78" t="s">
        <v>724</v>
      </c>
      <c r="F113" s="70" t="s">
        <v>1121</v>
      </c>
      <c r="G113" s="70" t="s">
        <v>1122</v>
      </c>
      <c r="H113" s="70" t="s">
        <v>1123</v>
      </c>
      <c r="I113" s="70" t="s">
        <v>1124</v>
      </c>
      <c r="J113" s="70" t="s">
        <v>1125</v>
      </c>
      <c r="K113" s="70" t="s">
        <v>730</v>
      </c>
      <c r="L113" s="80">
        <v>5.3</v>
      </c>
      <c r="M113" s="70" t="s">
        <v>803</v>
      </c>
      <c r="N113" s="70" t="s">
        <v>980</v>
      </c>
      <c r="O113" s="76">
        <v>13</v>
      </c>
      <c r="P113" s="159" t="s">
        <v>1119</v>
      </c>
      <c r="Q113" s="159">
        <v>45973</v>
      </c>
      <c r="R113" s="79"/>
      <c r="S113" s="106"/>
    </row>
    <row r="114" spans="2:19" ht="78.75" customHeight="1" x14ac:dyDescent="0.3">
      <c r="B114" s="105" t="s">
        <v>1126</v>
      </c>
      <c r="C114" s="79" t="s">
        <v>453</v>
      </c>
      <c r="D114" s="79" t="s">
        <v>964</v>
      </c>
      <c r="E114" s="78" t="s">
        <v>724</v>
      </c>
      <c r="F114" s="70" t="s">
        <v>1127</v>
      </c>
      <c r="G114" s="70" t="s">
        <v>1128</v>
      </c>
      <c r="H114" s="70" t="s">
        <v>1082</v>
      </c>
      <c r="I114" s="70" t="s">
        <v>977</v>
      </c>
      <c r="J114" s="70" t="s">
        <v>1083</v>
      </c>
      <c r="K114" s="70" t="s">
        <v>730</v>
      </c>
      <c r="L114" s="80">
        <v>5.2</v>
      </c>
      <c r="M114" s="70" t="s">
        <v>1107</v>
      </c>
      <c r="N114" s="70" t="s">
        <v>980</v>
      </c>
      <c r="O114" s="76">
        <v>14</v>
      </c>
      <c r="P114" s="159" t="s">
        <v>1119</v>
      </c>
      <c r="Q114" s="159">
        <v>45973</v>
      </c>
      <c r="R114" s="79"/>
      <c r="S114" s="106"/>
    </row>
    <row r="115" spans="2:19" ht="78.75" customHeight="1" x14ac:dyDescent="0.3">
      <c r="B115" s="105" t="s">
        <v>1129</v>
      </c>
      <c r="C115" s="79" t="s">
        <v>453</v>
      </c>
      <c r="D115" s="79" t="s">
        <v>964</v>
      </c>
      <c r="E115" s="78" t="s">
        <v>724</v>
      </c>
      <c r="F115" s="70" t="s">
        <v>1130</v>
      </c>
      <c r="G115" s="70" t="s">
        <v>1131</v>
      </c>
      <c r="H115" s="70" t="s">
        <v>1132</v>
      </c>
      <c r="I115" s="70" t="s">
        <v>1133</v>
      </c>
      <c r="J115" s="70" t="s">
        <v>1134</v>
      </c>
      <c r="K115" s="70" t="s">
        <v>730</v>
      </c>
      <c r="L115" s="80">
        <v>5.3</v>
      </c>
      <c r="M115" s="70" t="s">
        <v>693</v>
      </c>
      <c r="N115" s="70" t="s">
        <v>980</v>
      </c>
      <c r="O115" s="76">
        <v>15</v>
      </c>
      <c r="P115" s="159" t="s">
        <v>1119</v>
      </c>
      <c r="Q115" s="159">
        <v>45973</v>
      </c>
      <c r="R115" s="79"/>
      <c r="S115" s="106"/>
    </row>
    <row r="116" spans="2:19" ht="78.75" customHeight="1" x14ac:dyDescent="0.3">
      <c r="B116" s="105" t="s">
        <v>1135</v>
      </c>
      <c r="C116" s="79" t="s">
        <v>453</v>
      </c>
      <c r="D116" s="79" t="s">
        <v>964</v>
      </c>
      <c r="E116" s="78" t="s">
        <v>724</v>
      </c>
      <c r="F116" s="70" t="s">
        <v>1136</v>
      </c>
      <c r="G116" s="70" t="s">
        <v>1137</v>
      </c>
      <c r="H116" s="70" t="s">
        <v>1138</v>
      </c>
      <c r="I116" s="70" t="s">
        <v>1139</v>
      </c>
      <c r="J116" s="70" t="s">
        <v>1140</v>
      </c>
      <c r="K116" s="70" t="s">
        <v>730</v>
      </c>
      <c r="L116" s="80">
        <v>5.3</v>
      </c>
      <c r="M116" s="70" t="s">
        <v>820</v>
      </c>
      <c r="N116" s="70" t="s">
        <v>980</v>
      </c>
      <c r="O116" s="76">
        <v>14</v>
      </c>
      <c r="P116" s="159" t="s">
        <v>1119</v>
      </c>
      <c r="Q116" s="159">
        <v>45973</v>
      </c>
      <c r="R116" s="79"/>
      <c r="S116" s="106"/>
    </row>
    <row r="117" spans="2:19" ht="78.75" customHeight="1" x14ac:dyDescent="0.3">
      <c r="B117" s="105" t="s">
        <v>1141</v>
      </c>
      <c r="C117" s="79" t="s">
        <v>453</v>
      </c>
      <c r="D117" s="79" t="s">
        <v>964</v>
      </c>
      <c r="E117" s="78" t="s">
        <v>724</v>
      </c>
      <c r="F117" s="70" t="s">
        <v>1142</v>
      </c>
      <c r="G117" s="70" t="s">
        <v>1143</v>
      </c>
      <c r="H117" s="70" t="s">
        <v>1132</v>
      </c>
      <c r="I117" s="70" t="s">
        <v>1133</v>
      </c>
      <c r="J117" s="70" t="s">
        <v>1134</v>
      </c>
      <c r="K117" s="70" t="s">
        <v>730</v>
      </c>
      <c r="L117" s="80">
        <v>5.3</v>
      </c>
      <c r="M117" s="70" t="s">
        <v>1144</v>
      </c>
      <c r="N117" s="70" t="s">
        <v>1145</v>
      </c>
      <c r="O117" s="76">
        <v>14</v>
      </c>
      <c r="P117" s="159" t="s">
        <v>1119</v>
      </c>
      <c r="Q117" s="159">
        <v>45973</v>
      </c>
      <c r="R117" s="79"/>
      <c r="S117" s="106"/>
    </row>
    <row r="118" spans="2:19" ht="78.75" customHeight="1" x14ac:dyDescent="0.3">
      <c r="B118" s="105" t="s">
        <v>2604</v>
      </c>
      <c r="C118" s="79" t="s">
        <v>453</v>
      </c>
      <c r="D118" s="79" t="s">
        <v>964</v>
      </c>
      <c r="E118" s="78" t="s">
        <v>724</v>
      </c>
      <c r="F118" s="70" t="s">
        <v>1147</v>
      </c>
      <c r="G118" s="70" t="s">
        <v>1148</v>
      </c>
      <c r="H118" s="70" t="s">
        <v>2615</v>
      </c>
      <c r="I118" s="70" t="s">
        <v>2617</v>
      </c>
      <c r="J118" s="70" t="s">
        <v>1134</v>
      </c>
      <c r="K118" s="70" t="s">
        <v>839</v>
      </c>
      <c r="L118" s="80">
        <v>5.3</v>
      </c>
      <c r="M118" s="70" t="s">
        <v>1149</v>
      </c>
      <c r="N118" s="70" t="s">
        <v>1150</v>
      </c>
      <c r="O118" s="76">
        <v>14</v>
      </c>
      <c r="P118" s="159" t="s">
        <v>1119</v>
      </c>
      <c r="Q118" s="159">
        <v>45978</v>
      </c>
      <c r="R118" s="80" t="s">
        <v>1151</v>
      </c>
      <c r="S118" s="106"/>
    </row>
    <row r="119" spans="2:19" ht="78.75" customHeight="1" x14ac:dyDescent="0.3">
      <c r="B119" s="105" t="s">
        <v>2603</v>
      </c>
      <c r="C119" s="79" t="s">
        <v>453</v>
      </c>
      <c r="D119" s="79" t="s">
        <v>964</v>
      </c>
      <c r="E119" s="78" t="s">
        <v>1021</v>
      </c>
      <c r="F119" s="70" t="s">
        <v>2614</v>
      </c>
      <c r="G119" s="70" t="s">
        <v>2623</v>
      </c>
      <c r="H119" s="70" t="s">
        <v>2616</v>
      </c>
      <c r="I119" s="70" t="s">
        <v>2618</v>
      </c>
      <c r="J119" s="70" t="s">
        <v>2619</v>
      </c>
      <c r="K119" s="70" t="s">
        <v>839</v>
      </c>
      <c r="L119" s="80" t="s">
        <v>2620</v>
      </c>
      <c r="M119" s="70" t="s">
        <v>2621</v>
      </c>
      <c r="N119" s="70" t="s">
        <v>2622</v>
      </c>
      <c r="O119" s="76">
        <v>15</v>
      </c>
      <c r="P119" s="159">
        <v>46106</v>
      </c>
      <c r="Q119" s="159">
        <v>46106</v>
      </c>
      <c r="R119" s="80"/>
      <c r="S119" s="106"/>
    </row>
    <row r="120" spans="2:19" ht="78.75" customHeight="1" x14ac:dyDescent="0.3">
      <c r="B120" s="105" t="s">
        <v>2605</v>
      </c>
      <c r="C120" s="79" t="s">
        <v>453</v>
      </c>
      <c r="D120" s="79" t="s">
        <v>964</v>
      </c>
      <c r="E120" s="78" t="s">
        <v>1021</v>
      </c>
      <c r="F120" s="70" t="s">
        <v>2612</v>
      </c>
      <c r="G120" s="70" t="s">
        <v>2624</v>
      </c>
      <c r="H120" s="70" t="s">
        <v>2625</v>
      </c>
      <c r="I120" s="70" t="s">
        <v>2626</v>
      </c>
      <c r="J120" s="70" t="s">
        <v>2627</v>
      </c>
      <c r="K120" s="70" t="s">
        <v>839</v>
      </c>
      <c r="L120" s="80" t="s">
        <v>2629</v>
      </c>
      <c r="M120" s="70" t="s">
        <v>2628</v>
      </c>
      <c r="N120" s="70" t="s">
        <v>2630</v>
      </c>
      <c r="O120" s="76">
        <v>15</v>
      </c>
      <c r="P120" s="159">
        <v>46106</v>
      </c>
      <c r="Q120" s="159">
        <v>46106</v>
      </c>
      <c r="R120" s="80"/>
      <c r="S120" s="106"/>
    </row>
    <row r="121" spans="2:19" ht="78.75" customHeight="1" x14ac:dyDescent="0.3">
      <c r="B121" s="105" t="s">
        <v>2606</v>
      </c>
      <c r="C121" s="79" t="s">
        <v>453</v>
      </c>
      <c r="D121" s="79" t="s">
        <v>964</v>
      </c>
      <c r="E121" s="78" t="s">
        <v>1021</v>
      </c>
      <c r="F121" s="70" t="s">
        <v>2613</v>
      </c>
      <c r="G121" s="70" t="s">
        <v>2651</v>
      </c>
      <c r="H121" s="70" t="s">
        <v>2644</v>
      </c>
      <c r="I121" s="70" t="s">
        <v>2645</v>
      </c>
      <c r="J121" s="70" t="s">
        <v>2646</v>
      </c>
      <c r="K121" s="70" t="s">
        <v>2643</v>
      </c>
      <c r="L121" s="80" t="s">
        <v>2648</v>
      </c>
      <c r="M121" s="70" t="s">
        <v>2621</v>
      </c>
      <c r="N121" s="70" t="s">
        <v>2647</v>
      </c>
      <c r="O121" s="76">
        <v>16</v>
      </c>
      <c r="P121" s="159">
        <v>46106</v>
      </c>
      <c r="Q121" s="159">
        <v>46106</v>
      </c>
      <c r="R121" s="80"/>
      <c r="S121" s="106"/>
    </row>
    <row r="122" spans="2:19" ht="78.75" customHeight="1" x14ac:dyDescent="0.3">
      <c r="B122" s="105" t="s">
        <v>2607</v>
      </c>
      <c r="C122" s="79" t="s">
        <v>453</v>
      </c>
      <c r="D122" s="79" t="s">
        <v>964</v>
      </c>
      <c r="E122" s="78" t="s">
        <v>474</v>
      </c>
      <c r="F122" s="70" t="s">
        <v>2610</v>
      </c>
      <c r="G122" s="70" t="s">
        <v>2631</v>
      </c>
      <c r="H122" s="70" t="s">
        <v>2633</v>
      </c>
      <c r="I122" s="70" t="s">
        <v>2634</v>
      </c>
      <c r="J122" s="70" t="s">
        <v>2635</v>
      </c>
      <c r="K122" s="70" t="s">
        <v>2636</v>
      </c>
      <c r="L122" s="80" t="s">
        <v>2638</v>
      </c>
      <c r="M122" s="70" t="s">
        <v>2637</v>
      </c>
      <c r="N122" s="70" t="s">
        <v>2630</v>
      </c>
      <c r="O122" s="76">
        <v>16</v>
      </c>
      <c r="P122" s="159">
        <v>46106</v>
      </c>
      <c r="Q122" s="159">
        <v>46106</v>
      </c>
      <c r="R122" s="80"/>
      <c r="S122" s="106"/>
    </row>
    <row r="123" spans="2:19" ht="78.75" customHeight="1" x14ac:dyDescent="0.3">
      <c r="B123" s="105" t="s">
        <v>2608</v>
      </c>
      <c r="C123" s="79" t="s">
        <v>453</v>
      </c>
      <c r="D123" s="79" t="s">
        <v>2609</v>
      </c>
      <c r="E123" s="78" t="s">
        <v>474</v>
      </c>
      <c r="F123" s="70" t="s">
        <v>2611</v>
      </c>
      <c r="G123" s="70" t="s">
        <v>2639</v>
      </c>
      <c r="H123" s="70" t="s">
        <v>2633</v>
      </c>
      <c r="I123" s="70" t="s">
        <v>2634</v>
      </c>
      <c r="J123" s="70" t="s">
        <v>2635</v>
      </c>
      <c r="K123" s="70" t="s">
        <v>2640</v>
      </c>
      <c r="L123" s="80" t="s">
        <v>2638</v>
      </c>
      <c r="M123" s="80" t="s">
        <v>2641</v>
      </c>
      <c r="N123" s="70" t="s">
        <v>2642</v>
      </c>
      <c r="O123" s="76">
        <v>16</v>
      </c>
      <c r="P123" s="159">
        <v>46106</v>
      </c>
      <c r="Q123" s="159">
        <v>46106</v>
      </c>
      <c r="R123" s="80"/>
      <c r="S123" s="106"/>
    </row>
    <row r="124" spans="2:19" s="18" customFormat="1" ht="45.75" customHeight="1" x14ac:dyDescent="0.3">
      <c r="B124" s="104" t="s">
        <v>1152</v>
      </c>
      <c r="C124" s="68" t="s">
        <v>453</v>
      </c>
      <c r="D124" s="68" t="s">
        <v>451</v>
      </c>
      <c r="E124" s="69" t="s">
        <v>1153</v>
      </c>
      <c r="F124" s="69" t="s">
        <v>1154</v>
      </c>
      <c r="G124" s="72" t="s">
        <v>1155</v>
      </c>
      <c r="H124" s="72" t="s">
        <v>1156</v>
      </c>
      <c r="I124" s="72" t="s">
        <v>1157</v>
      </c>
      <c r="J124" s="72" t="s">
        <v>1158</v>
      </c>
      <c r="K124" s="72" t="s">
        <v>1159</v>
      </c>
      <c r="L124" s="75">
        <v>4</v>
      </c>
      <c r="M124" s="72" t="s">
        <v>1160</v>
      </c>
      <c r="N124" s="72" t="s">
        <v>1161</v>
      </c>
      <c r="O124" s="69">
        <v>9.1</v>
      </c>
      <c r="P124" s="158">
        <v>43224</v>
      </c>
      <c r="Q124" s="158">
        <v>44848</v>
      </c>
      <c r="R124" s="68" t="s">
        <v>1162</v>
      </c>
      <c r="S124" s="103"/>
    </row>
    <row r="125" spans="2:19" s="18" customFormat="1" ht="45.75" customHeight="1" x14ac:dyDescent="0.3">
      <c r="B125" s="104" t="s">
        <v>1163</v>
      </c>
      <c r="C125" s="68" t="s">
        <v>664</v>
      </c>
      <c r="D125" s="68" t="s">
        <v>451</v>
      </c>
      <c r="E125" s="69" t="s">
        <v>1153</v>
      </c>
      <c r="F125" s="69" t="s">
        <v>1165</v>
      </c>
      <c r="G125" s="69" t="s">
        <v>1166</v>
      </c>
      <c r="H125" s="72" t="s">
        <v>1167</v>
      </c>
      <c r="I125" s="72" t="s">
        <v>1168</v>
      </c>
      <c r="J125" s="72" t="s">
        <v>1169</v>
      </c>
      <c r="K125" s="72" t="s">
        <v>480</v>
      </c>
      <c r="L125" s="75">
        <v>4</v>
      </c>
      <c r="M125" s="72" t="s">
        <v>1170</v>
      </c>
      <c r="N125" s="72" t="s">
        <v>1171</v>
      </c>
      <c r="O125" s="68" t="s">
        <v>1172</v>
      </c>
      <c r="P125" s="158">
        <v>43224</v>
      </c>
      <c r="Q125" s="158">
        <v>46162</v>
      </c>
      <c r="R125" s="89" t="s">
        <v>2663</v>
      </c>
      <c r="S125" s="109" t="s">
        <v>1173</v>
      </c>
    </row>
    <row r="126" spans="2:19" s="18" customFormat="1" ht="45.75" customHeight="1" x14ac:dyDescent="0.3">
      <c r="B126" s="104" t="s">
        <v>1174</v>
      </c>
      <c r="C126" s="68" t="s">
        <v>453</v>
      </c>
      <c r="D126" s="68" t="s">
        <v>451</v>
      </c>
      <c r="E126" s="69" t="s">
        <v>1153</v>
      </c>
      <c r="F126" s="69" t="s">
        <v>1175</v>
      </c>
      <c r="G126" s="72" t="s">
        <v>1176</v>
      </c>
      <c r="H126" s="72" t="s">
        <v>1177</v>
      </c>
      <c r="I126" s="72" t="s">
        <v>1178</v>
      </c>
      <c r="J126" s="72" t="s">
        <v>1179</v>
      </c>
      <c r="K126" s="72" t="s">
        <v>480</v>
      </c>
      <c r="L126" s="75">
        <v>4</v>
      </c>
      <c r="M126" s="72" t="s">
        <v>1170</v>
      </c>
      <c r="N126" s="72" t="s">
        <v>1171</v>
      </c>
      <c r="O126" s="68" t="s">
        <v>1180</v>
      </c>
      <c r="P126" s="158">
        <v>43224</v>
      </c>
      <c r="Q126" s="158">
        <v>45013</v>
      </c>
      <c r="R126" s="68"/>
      <c r="S126" s="109" t="s">
        <v>1181</v>
      </c>
    </row>
    <row r="127" spans="2:19" s="18" customFormat="1" ht="45.75" customHeight="1" x14ac:dyDescent="0.3">
      <c r="B127" s="104" t="s">
        <v>1182</v>
      </c>
      <c r="C127" s="68" t="s">
        <v>453</v>
      </c>
      <c r="D127" s="68" t="s">
        <v>452</v>
      </c>
      <c r="E127" s="69" t="s">
        <v>1153</v>
      </c>
      <c r="F127" s="90" t="s">
        <v>1183</v>
      </c>
      <c r="G127" s="91" t="s">
        <v>1184</v>
      </c>
      <c r="H127" s="72" t="s">
        <v>1177</v>
      </c>
      <c r="I127" s="72" t="s">
        <v>1178</v>
      </c>
      <c r="J127" s="72" t="s">
        <v>1179</v>
      </c>
      <c r="K127" s="72" t="s">
        <v>480</v>
      </c>
      <c r="L127" s="75">
        <v>4</v>
      </c>
      <c r="M127" s="72" t="s">
        <v>1185</v>
      </c>
      <c r="N127" s="72" t="s">
        <v>682</v>
      </c>
      <c r="O127" s="68" t="s">
        <v>1186</v>
      </c>
      <c r="P127" s="158">
        <v>43224</v>
      </c>
      <c r="Q127" s="158">
        <v>45490</v>
      </c>
      <c r="R127" s="68"/>
      <c r="S127" s="109" t="s">
        <v>1187</v>
      </c>
    </row>
    <row r="128" spans="2:19" s="18" customFormat="1" ht="45.75" customHeight="1" x14ac:dyDescent="0.3">
      <c r="B128" s="104" t="s">
        <v>1188</v>
      </c>
      <c r="C128" s="68" t="s">
        <v>664</v>
      </c>
      <c r="D128" s="68" t="s">
        <v>451</v>
      </c>
      <c r="E128" s="69" t="s">
        <v>1153</v>
      </c>
      <c r="F128" s="69" t="s">
        <v>1189</v>
      </c>
      <c r="G128" s="72" t="s">
        <v>1190</v>
      </c>
      <c r="H128" s="72" t="s">
        <v>1191</v>
      </c>
      <c r="I128" s="74" t="s">
        <v>1192</v>
      </c>
      <c r="J128" s="72" t="s">
        <v>1193</v>
      </c>
      <c r="K128" s="72" t="s">
        <v>480</v>
      </c>
      <c r="L128" s="71">
        <v>4.2</v>
      </c>
      <c r="M128" s="72" t="s">
        <v>1194</v>
      </c>
      <c r="N128" s="72" t="s">
        <v>1195</v>
      </c>
      <c r="O128" s="68" t="s">
        <v>1196</v>
      </c>
      <c r="P128" s="158">
        <v>43224</v>
      </c>
      <c r="Q128" s="158">
        <v>45896</v>
      </c>
      <c r="R128" s="68" t="s">
        <v>1197</v>
      </c>
      <c r="S128" s="109" t="s">
        <v>1198</v>
      </c>
    </row>
    <row r="129" spans="2:21" s="18" customFormat="1" ht="45.75" customHeight="1" x14ac:dyDescent="0.3">
      <c r="B129" s="104" t="s">
        <v>1199</v>
      </c>
      <c r="C129" s="68" t="s">
        <v>453</v>
      </c>
      <c r="D129" s="68" t="s">
        <v>451</v>
      </c>
      <c r="E129" s="69" t="s">
        <v>1153</v>
      </c>
      <c r="F129" s="69" t="s">
        <v>1200</v>
      </c>
      <c r="G129" s="72" t="s">
        <v>1201</v>
      </c>
      <c r="H129" s="72" t="s">
        <v>1191</v>
      </c>
      <c r="I129" s="74" t="s">
        <v>1192</v>
      </c>
      <c r="J129" s="72" t="s">
        <v>1193</v>
      </c>
      <c r="K129" s="72" t="s">
        <v>480</v>
      </c>
      <c r="L129" s="71">
        <v>4.2</v>
      </c>
      <c r="M129" s="72" t="s">
        <v>1194</v>
      </c>
      <c r="N129" s="72" t="s">
        <v>1195</v>
      </c>
      <c r="O129" s="68" t="s">
        <v>1202</v>
      </c>
      <c r="P129" s="158">
        <v>43224</v>
      </c>
      <c r="Q129" s="158">
        <v>45013</v>
      </c>
      <c r="R129" s="68"/>
      <c r="S129" s="109" t="s">
        <v>1203</v>
      </c>
    </row>
    <row r="130" spans="2:21" s="18" customFormat="1" ht="45.75" customHeight="1" x14ac:dyDescent="0.3">
      <c r="B130" s="104" t="s">
        <v>1204</v>
      </c>
      <c r="C130" s="68" t="s">
        <v>453</v>
      </c>
      <c r="D130" s="68" t="s">
        <v>451</v>
      </c>
      <c r="E130" s="69" t="s">
        <v>1153</v>
      </c>
      <c r="F130" s="69" t="s">
        <v>1205</v>
      </c>
      <c r="G130" s="72" t="s">
        <v>1206</v>
      </c>
      <c r="H130" s="72" t="s">
        <v>1191</v>
      </c>
      <c r="I130" s="74" t="s">
        <v>1192</v>
      </c>
      <c r="J130" s="72" t="s">
        <v>1193</v>
      </c>
      <c r="K130" s="71" t="s">
        <v>480</v>
      </c>
      <c r="L130" s="71">
        <v>4.2</v>
      </c>
      <c r="M130" s="71" t="s">
        <v>628</v>
      </c>
      <c r="N130" s="73" t="s">
        <v>494</v>
      </c>
      <c r="O130" s="68" t="s">
        <v>1207</v>
      </c>
      <c r="P130" s="158">
        <v>43224</v>
      </c>
      <c r="Q130" s="158">
        <v>45490</v>
      </c>
      <c r="R130" s="114" t="s">
        <v>774</v>
      </c>
      <c r="S130" s="109" t="s">
        <v>1208</v>
      </c>
    </row>
    <row r="131" spans="2:21" s="18" customFormat="1" ht="45.75" customHeight="1" x14ac:dyDescent="0.3">
      <c r="B131" s="104" t="s">
        <v>1209</v>
      </c>
      <c r="C131" s="68" t="s">
        <v>585</v>
      </c>
      <c r="D131" s="68" t="s">
        <v>452</v>
      </c>
      <c r="E131" s="69" t="s">
        <v>1153</v>
      </c>
      <c r="F131" s="90" t="s">
        <v>1210</v>
      </c>
      <c r="G131" s="91" t="s">
        <v>1211</v>
      </c>
      <c r="H131" s="72" t="s">
        <v>1212</v>
      </c>
      <c r="I131" s="72" t="s">
        <v>1213</v>
      </c>
      <c r="J131" s="72" t="s">
        <v>1214</v>
      </c>
      <c r="K131" s="72" t="s">
        <v>566</v>
      </c>
      <c r="L131" s="71">
        <v>4.2</v>
      </c>
      <c r="M131" s="72" t="s">
        <v>681</v>
      </c>
      <c r="N131" s="73" t="s">
        <v>682</v>
      </c>
      <c r="O131" s="69" t="s">
        <v>1215</v>
      </c>
      <c r="P131" s="158">
        <v>43224</v>
      </c>
      <c r="Q131" s="158">
        <v>45979</v>
      </c>
      <c r="R131" s="89"/>
      <c r="S131" s="109" t="s">
        <v>1216</v>
      </c>
    </row>
    <row r="132" spans="2:21" s="18" customFormat="1" ht="45.75" hidden="1" customHeight="1" x14ac:dyDescent="0.3">
      <c r="B132" s="119" t="s">
        <v>1217</v>
      </c>
      <c r="C132" s="120" t="s">
        <v>486</v>
      </c>
      <c r="D132" s="120" t="s">
        <v>451</v>
      </c>
      <c r="E132" s="121" t="s">
        <v>1153</v>
      </c>
      <c r="F132" s="121" t="s">
        <v>1218</v>
      </c>
      <c r="G132" s="121" t="s">
        <v>1219</v>
      </c>
      <c r="H132" s="147" t="s">
        <v>1220</v>
      </c>
      <c r="I132" s="147" t="s">
        <v>1221</v>
      </c>
      <c r="J132" s="147" t="s">
        <v>1222</v>
      </c>
      <c r="K132" s="147" t="s">
        <v>1223</v>
      </c>
      <c r="L132" s="123">
        <v>4.2</v>
      </c>
      <c r="M132" s="147" t="s">
        <v>1194</v>
      </c>
      <c r="N132" s="147" t="s">
        <v>1195</v>
      </c>
      <c r="O132" s="120" t="s">
        <v>1224</v>
      </c>
      <c r="P132" s="120" t="s">
        <v>496</v>
      </c>
      <c r="Q132" s="120" t="s">
        <v>1225</v>
      </c>
      <c r="R132" s="120" t="s">
        <v>1226</v>
      </c>
      <c r="S132" s="145"/>
    </row>
    <row r="133" spans="2:21" s="18" customFormat="1" ht="45.75" customHeight="1" x14ac:dyDescent="0.3">
      <c r="B133" s="104" t="s">
        <v>1227</v>
      </c>
      <c r="C133" s="68" t="s">
        <v>453</v>
      </c>
      <c r="D133" s="68" t="s">
        <v>451</v>
      </c>
      <c r="E133" s="69" t="s">
        <v>1153</v>
      </c>
      <c r="F133" s="69" t="s">
        <v>1228</v>
      </c>
      <c r="G133" s="72" t="s">
        <v>1229</v>
      </c>
      <c r="H133" s="72" t="s">
        <v>1220</v>
      </c>
      <c r="I133" s="72" t="s">
        <v>1230</v>
      </c>
      <c r="J133" s="72" t="s">
        <v>1231</v>
      </c>
      <c r="K133" s="72" t="s">
        <v>566</v>
      </c>
      <c r="L133" s="71">
        <v>4.2</v>
      </c>
      <c r="M133" s="72" t="s">
        <v>575</v>
      </c>
      <c r="N133" s="73" t="s">
        <v>494</v>
      </c>
      <c r="O133" s="68" t="s">
        <v>1232</v>
      </c>
      <c r="P133" s="158">
        <v>43224</v>
      </c>
      <c r="Q133" s="158">
        <v>45490</v>
      </c>
      <c r="R133" s="89"/>
      <c r="S133" s="109" t="s">
        <v>1233</v>
      </c>
    </row>
    <row r="134" spans="2:21" s="18" customFormat="1" ht="45.75" customHeight="1" x14ac:dyDescent="0.3">
      <c r="B134" s="104" t="s">
        <v>1234</v>
      </c>
      <c r="C134" s="68" t="s">
        <v>453</v>
      </c>
      <c r="D134" s="68" t="s">
        <v>452</v>
      </c>
      <c r="E134" s="69" t="s">
        <v>1153</v>
      </c>
      <c r="F134" s="69" t="s">
        <v>1235</v>
      </c>
      <c r="G134" s="72" t="s">
        <v>1236</v>
      </c>
      <c r="H134" s="72" t="s">
        <v>1220</v>
      </c>
      <c r="I134" s="72" t="s">
        <v>1230</v>
      </c>
      <c r="J134" s="72" t="s">
        <v>1231</v>
      </c>
      <c r="K134" s="72" t="s">
        <v>566</v>
      </c>
      <c r="L134" s="71">
        <v>4.2</v>
      </c>
      <c r="M134" s="72" t="s">
        <v>681</v>
      </c>
      <c r="N134" s="73" t="s">
        <v>682</v>
      </c>
      <c r="O134" s="68" t="s">
        <v>2709</v>
      </c>
      <c r="P134" s="158">
        <v>43224</v>
      </c>
      <c r="Q134" s="158">
        <v>46188</v>
      </c>
      <c r="R134" s="68"/>
      <c r="S134" s="109" t="s">
        <v>1238</v>
      </c>
    </row>
    <row r="135" spans="2:21" s="18" customFormat="1" ht="45.75" hidden="1" customHeight="1" x14ac:dyDescent="0.3">
      <c r="B135" s="110" t="s">
        <v>1239</v>
      </c>
      <c r="C135" s="68" t="s">
        <v>486</v>
      </c>
      <c r="D135" s="68" t="s">
        <v>451</v>
      </c>
      <c r="E135" s="90" t="s">
        <v>1153</v>
      </c>
      <c r="F135" s="69" t="s">
        <v>1240</v>
      </c>
      <c r="G135" s="72" t="s">
        <v>1241</v>
      </c>
      <c r="H135" s="72" t="s">
        <v>1242</v>
      </c>
      <c r="I135" s="72" t="s">
        <v>1243</v>
      </c>
      <c r="J135" s="69" t="s">
        <v>1244</v>
      </c>
      <c r="K135" s="69" t="s">
        <v>1245</v>
      </c>
      <c r="L135" s="75">
        <v>5</v>
      </c>
      <c r="M135" s="69" t="s">
        <v>637</v>
      </c>
      <c r="N135" s="73" t="s">
        <v>1246</v>
      </c>
      <c r="O135" s="69">
        <v>12.2</v>
      </c>
      <c r="P135" s="158">
        <v>43315</v>
      </c>
      <c r="Q135" s="158">
        <v>44848</v>
      </c>
      <c r="R135" s="114" t="s">
        <v>774</v>
      </c>
      <c r="S135" s="109" t="s">
        <v>1247</v>
      </c>
    </row>
    <row r="136" spans="2:21" s="18" customFormat="1" ht="45.75" customHeight="1" x14ac:dyDescent="0.3">
      <c r="B136" s="110" t="s">
        <v>1248</v>
      </c>
      <c r="C136" s="68" t="s">
        <v>664</v>
      </c>
      <c r="D136" s="68" t="s">
        <v>451</v>
      </c>
      <c r="E136" s="90" t="s">
        <v>1153</v>
      </c>
      <c r="F136" s="69" t="s">
        <v>1249</v>
      </c>
      <c r="G136" s="72" t="s">
        <v>1250</v>
      </c>
      <c r="H136" s="72" t="s">
        <v>1251</v>
      </c>
      <c r="I136" s="72" t="s">
        <v>1252</v>
      </c>
      <c r="J136" s="72" t="s">
        <v>1253</v>
      </c>
      <c r="K136" s="72" t="s">
        <v>480</v>
      </c>
      <c r="L136" s="75">
        <v>4</v>
      </c>
      <c r="M136" s="72" t="s">
        <v>1170</v>
      </c>
      <c r="N136" s="72" t="s">
        <v>1171</v>
      </c>
      <c r="O136" s="69">
        <v>8.3000000000000007</v>
      </c>
      <c r="P136" s="161">
        <v>43315</v>
      </c>
      <c r="Q136" s="158">
        <v>45896</v>
      </c>
      <c r="R136" s="68" t="s">
        <v>1197</v>
      </c>
      <c r="S136" s="109" t="s">
        <v>1254</v>
      </c>
    </row>
    <row r="137" spans="2:21" s="18" customFormat="1" ht="45.75" customHeight="1" x14ac:dyDescent="0.3">
      <c r="B137" s="110" t="s">
        <v>1255</v>
      </c>
      <c r="C137" s="68" t="s">
        <v>664</v>
      </c>
      <c r="D137" s="68" t="s">
        <v>452</v>
      </c>
      <c r="E137" s="90" t="s">
        <v>1153</v>
      </c>
      <c r="F137" s="90" t="s">
        <v>1256</v>
      </c>
      <c r="G137" s="91" t="s">
        <v>1257</v>
      </c>
      <c r="H137" s="91" t="s">
        <v>1258</v>
      </c>
      <c r="I137" s="91" t="s">
        <v>1259</v>
      </c>
      <c r="J137" s="90" t="s">
        <v>1260</v>
      </c>
      <c r="K137" s="90" t="s">
        <v>566</v>
      </c>
      <c r="L137" s="71">
        <v>4.2</v>
      </c>
      <c r="M137" s="90" t="s">
        <v>681</v>
      </c>
      <c r="N137" s="90" t="s">
        <v>1261</v>
      </c>
      <c r="O137" s="69">
        <v>13.6</v>
      </c>
      <c r="P137" s="161">
        <v>43315</v>
      </c>
      <c r="Q137" s="158">
        <v>45490</v>
      </c>
      <c r="R137" s="68" t="s">
        <v>1262</v>
      </c>
      <c r="S137" s="109"/>
    </row>
    <row r="138" spans="2:21" s="18" customFormat="1" ht="45.75" customHeight="1" x14ac:dyDescent="0.3">
      <c r="B138" s="110" t="s">
        <v>1263</v>
      </c>
      <c r="C138" s="68" t="s">
        <v>453</v>
      </c>
      <c r="D138" s="68" t="s">
        <v>451</v>
      </c>
      <c r="E138" s="90" t="s">
        <v>1153</v>
      </c>
      <c r="F138" s="90" t="s">
        <v>1264</v>
      </c>
      <c r="G138" s="91" t="s">
        <v>1265</v>
      </c>
      <c r="H138" s="91" t="s">
        <v>1266</v>
      </c>
      <c r="I138" s="91" t="s">
        <v>1267</v>
      </c>
      <c r="J138" s="90" t="s">
        <v>1268</v>
      </c>
      <c r="K138" s="90" t="s">
        <v>550</v>
      </c>
      <c r="L138" s="75">
        <v>5</v>
      </c>
      <c r="M138" s="90" t="s">
        <v>876</v>
      </c>
      <c r="N138" s="90" t="s">
        <v>1269</v>
      </c>
      <c r="O138" s="69" t="s">
        <v>2713</v>
      </c>
      <c r="P138" s="161">
        <v>43557</v>
      </c>
      <c r="Q138" s="158">
        <v>46188</v>
      </c>
      <c r="R138" s="114" t="s">
        <v>774</v>
      </c>
      <c r="S138" s="109" t="s">
        <v>1270</v>
      </c>
    </row>
    <row r="139" spans="2:21" s="18" customFormat="1" ht="45.75" customHeight="1" x14ac:dyDescent="0.3">
      <c r="B139" s="110" t="s">
        <v>1271</v>
      </c>
      <c r="C139" s="68" t="s">
        <v>453</v>
      </c>
      <c r="D139" s="68" t="s">
        <v>451</v>
      </c>
      <c r="E139" s="90" t="s">
        <v>1153</v>
      </c>
      <c r="F139" s="90" t="s">
        <v>1272</v>
      </c>
      <c r="G139" s="91" t="s">
        <v>1273</v>
      </c>
      <c r="H139" s="91" t="s">
        <v>1266</v>
      </c>
      <c r="I139" s="91" t="s">
        <v>1267</v>
      </c>
      <c r="J139" s="90" t="s">
        <v>1274</v>
      </c>
      <c r="K139" s="90" t="s">
        <v>504</v>
      </c>
      <c r="L139" s="75">
        <v>5</v>
      </c>
      <c r="M139" s="90" t="s">
        <v>693</v>
      </c>
      <c r="N139" s="90" t="s">
        <v>1275</v>
      </c>
      <c r="O139" s="68" t="s">
        <v>1276</v>
      </c>
      <c r="P139" s="161">
        <v>43557</v>
      </c>
      <c r="Q139" s="158">
        <v>45488</v>
      </c>
      <c r="R139" s="114" t="s">
        <v>774</v>
      </c>
      <c r="S139" s="109" t="s">
        <v>1277</v>
      </c>
    </row>
    <row r="140" spans="2:21" s="18" customFormat="1" ht="45.75" customHeight="1" x14ac:dyDescent="0.3">
      <c r="B140" s="111" t="s">
        <v>1278</v>
      </c>
      <c r="C140" s="83" t="s">
        <v>453</v>
      </c>
      <c r="D140" s="83" t="s">
        <v>452</v>
      </c>
      <c r="E140" s="92" t="s">
        <v>1153</v>
      </c>
      <c r="F140" s="92" t="s">
        <v>1279</v>
      </c>
      <c r="G140" s="93" t="s">
        <v>1280</v>
      </c>
      <c r="H140" s="92" t="s">
        <v>1281</v>
      </c>
      <c r="I140" s="93" t="s">
        <v>1282</v>
      </c>
      <c r="J140" s="92" t="s">
        <v>1283</v>
      </c>
      <c r="K140" s="92" t="s">
        <v>987</v>
      </c>
      <c r="L140" s="85">
        <v>5</v>
      </c>
      <c r="M140" s="92" t="s">
        <v>1084</v>
      </c>
      <c r="N140" s="92" t="s">
        <v>1284</v>
      </c>
      <c r="O140" s="82">
        <v>26</v>
      </c>
      <c r="P140" s="162">
        <v>43557</v>
      </c>
      <c r="Q140" s="162">
        <v>45973</v>
      </c>
      <c r="R140" s="83" t="s">
        <v>877</v>
      </c>
      <c r="S140" s="112" t="s">
        <v>1285</v>
      </c>
    </row>
    <row r="141" spans="2:21" s="22" customFormat="1" ht="45.75" customHeight="1" x14ac:dyDescent="0.3">
      <c r="B141" s="164" t="s">
        <v>1286</v>
      </c>
      <c r="C141" s="79" t="s">
        <v>453</v>
      </c>
      <c r="D141" s="79" t="s">
        <v>452</v>
      </c>
      <c r="E141" s="95" t="s">
        <v>1153</v>
      </c>
      <c r="F141" s="95" t="s">
        <v>1287</v>
      </c>
      <c r="G141" s="96" t="s">
        <v>1288</v>
      </c>
      <c r="H141" s="96" t="s">
        <v>1289</v>
      </c>
      <c r="I141" s="96" t="s">
        <v>1290</v>
      </c>
      <c r="J141" s="96" t="s">
        <v>1291</v>
      </c>
      <c r="K141" s="95" t="s">
        <v>504</v>
      </c>
      <c r="L141" s="95">
        <v>4.2</v>
      </c>
      <c r="M141" s="95" t="s">
        <v>1292</v>
      </c>
      <c r="N141" s="95" t="s">
        <v>1293</v>
      </c>
      <c r="O141" s="78" t="s">
        <v>1294</v>
      </c>
      <c r="P141" s="163">
        <v>43880</v>
      </c>
      <c r="Q141" s="158">
        <v>45974</v>
      </c>
      <c r="R141" s="79"/>
      <c r="S141" s="113" t="s">
        <v>1295</v>
      </c>
      <c r="U141" s="18"/>
    </row>
    <row r="142" spans="2:21" s="18" customFormat="1" ht="45.75" customHeight="1" x14ac:dyDescent="0.3">
      <c r="B142" s="110" t="s">
        <v>1296</v>
      </c>
      <c r="C142" s="68" t="s">
        <v>453</v>
      </c>
      <c r="D142" s="68" t="s">
        <v>451</v>
      </c>
      <c r="E142" s="90" t="s">
        <v>1153</v>
      </c>
      <c r="F142" s="90" t="s">
        <v>1297</v>
      </c>
      <c r="G142" s="91" t="s">
        <v>1298</v>
      </c>
      <c r="H142" s="91" t="s">
        <v>1266</v>
      </c>
      <c r="I142" s="91" t="s">
        <v>1299</v>
      </c>
      <c r="J142" s="91" t="s">
        <v>1274</v>
      </c>
      <c r="K142" s="90" t="s">
        <v>550</v>
      </c>
      <c r="L142" s="75">
        <v>5</v>
      </c>
      <c r="M142" s="90" t="s">
        <v>1300</v>
      </c>
      <c r="N142" s="90" t="s">
        <v>1246</v>
      </c>
      <c r="O142" s="69" t="s">
        <v>2713</v>
      </c>
      <c r="P142" s="161" t="s">
        <v>847</v>
      </c>
      <c r="Q142" s="158">
        <v>46188</v>
      </c>
      <c r="R142" s="114" t="s">
        <v>774</v>
      </c>
      <c r="S142" s="109" t="s">
        <v>1301</v>
      </c>
    </row>
    <row r="143" spans="2:21" s="18" customFormat="1" ht="45.75" customHeight="1" x14ac:dyDescent="0.3">
      <c r="B143" s="110" t="s">
        <v>1302</v>
      </c>
      <c r="C143" s="68" t="s">
        <v>453</v>
      </c>
      <c r="D143" s="68" t="s">
        <v>451</v>
      </c>
      <c r="E143" s="90" t="s">
        <v>1153</v>
      </c>
      <c r="F143" s="90" t="s">
        <v>1303</v>
      </c>
      <c r="G143" s="91" t="s">
        <v>1304</v>
      </c>
      <c r="H143" s="72" t="s">
        <v>1242</v>
      </c>
      <c r="I143" s="91" t="s">
        <v>1305</v>
      </c>
      <c r="J143" s="91" t="s">
        <v>1306</v>
      </c>
      <c r="K143" s="90" t="s">
        <v>504</v>
      </c>
      <c r="L143" s="75">
        <v>5</v>
      </c>
      <c r="M143" s="90" t="s">
        <v>1307</v>
      </c>
      <c r="N143" s="90" t="s">
        <v>494</v>
      </c>
      <c r="O143" s="69" t="s">
        <v>2710</v>
      </c>
      <c r="P143" s="161" t="s">
        <v>847</v>
      </c>
      <c r="Q143" s="158">
        <v>45974</v>
      </c>
      <c r="R143" s="114" t="s">
        <v>774</v>
      </c>
      <c r="S143" s="109" t="s">
        <v>1308</v>
      </c>
    </row>
    <row r="144" spans="2:21" s="18" customFormat="1" ht="45.75" customHeight="1" x14ac:dyDescent="0.3">
      <c r="B144" s="164" t="s">
        <v>1309</v>
      </c>
      <c r="C144" s="79" t="s">
        <v>453</v>
      </c>
      <c r="D144" s="79" t="s">
        <v>451</v>
      </c>
      <c r="E144" s="95" t="s">
        <v>1310</v>
      </c>
      <c r="F144" s="95" t="s">
        <v>1311</v>
      </c>
      <c r="G144" s="96" t="s">
        <v>1312</v>
      </c>
      <c r="H144" s="96" t="s">
        <v>1313</v>
      </c>
      <c r="I144" s="96" t="s">
        <v>1314</v>
      </c>
      <c r="J144" s="95" t="s">
        <v>1315</v>
      </c>
      <c r="K144" s="95" t="s">
        <v>504</v>
      </c>
      <c r="L144" s="177">
        <v>5</v>
      </c>
      <c r="M144" s="95" t="s">
        <v>1316</v>
      </c>
      <c r="N144" s="95" t="s">
        <v>1195</v>
      </c>
      <c r="O144" s="224" t="s">
        <v>1317</v>
      </c>
      <c r="P144" s="163" t="s">
        <v>847</v>
      </c>
      <c r="Q144" s="163">
        <v>45973</v>
      </c>
      <c r="R144" s="94"/>
      <c r="S144" s="113" t="s">
        <v>1318</v>
      </c>
    </row>
    <row r="145" spans="2:21" s="18" customFormat="1" ht="45.75" customHeight="1" x14ac:dyDescent="0.3">
      <c r="B145" s="110" t="s">
        <v>1319</v>
      </c>
      <c r="C145" s="68" t="s">
        <v>453</v>
      </c>
      <c r="D145" s="68" t="s">
        <v>452</v>
      </c>
      <c r="E145" s="90" t="s">
        <v>1153</v>
      </c>
      <c r="F145" s="90" t="s">
        <v>1320</v>
      </c>
      <c r="G145" s="91" t="s">
        <v>1321</v>
      </c>
      <c r="H145" s="91" t="s">
        <v>1322</v>
      </c>
      <c r="I145" s="91" t="s">
        <v>1323</v>
      </c>
      <c r="J145" s="91" t="s">
        <v>1324</v>
      </c>
      <c r="K145" s="90" t="s">
        <v>550</v>
      </c>
      <c r="L145" s="75">
        <v>5</v>
      </c>
      <c r="M145" s="90" t="s">
        <v>1325</v>
      </c>
      <c r="N145" s="90" t="s">
        <v>1326</v>
      </c>
      <c r="O145" s="69">
        <v>26.5</v>
      </c>
      <c r="P145" s="161" t="s">
        <v>847</v>
      </c>
      <c r="Q145" s="158">
        <v>46188</v>
      </c>
      <c r="R145" s="94"/>
      <c r="S145" s="109" t="s">
        <v>1327</v>
      </c>
    </row>
    <row r="146" spans="2:21" s="18" customFormat="1" ht="45.75" hidden="1" customHeight="1" x14ac:dyDescent="0.3">
      <c r="B146" s="141" t="s">
        <v>1328</v>
      </c>
      <c r="C146" s="120" t="s">
        <v>486</v>
      </c>
      <c r="D146" s="120" t="s">
        <v>452</v>
      </c>
      <c r="E146" s="142" t="s">
        <v>1310</v>
      </c>
      <c r="F146" s="142" t="s">
        <v>1329</v>
      </c>
      <c r="G146" s="142" t="s">
        <v>1330</v>
      </c>
      <c r="H146" s="143" t="s">
        <v>1258</v>
      </c>
      <c r="I146" s="142" t="s">
        <v>1331</v>
      </c>
      <c r="J146" s="142" t="s">
        <v>1260</v>
      </c>
      <c r="K146" s="142" t="s">
        <v>550</v>
      </c>
      <c r="L146" s="142">
        <v>4.2</v>
      </c>
      <c r="M146" s="142" t="s">
        <v>1332</v>
      </c>
      <c r="N146" s="142" t="s">
        <v>1261</v>
      </c>
      <c r="O146" s="121">
        <v>14.3</v>
      </c>
      <c r="P146" s="144" t="s">
        <v>1333</v>
      </c>
      <c r="Q146" s="120" t="s">
        <v>684</v>
      </c>
      <c r="R146" s="126" t="s">
        <v>1334</v>
      </c>
      <c r="S146" s="145" t="s">
        <v>1335</v>
      </c>
    </row>
    <row r="147" spans="2:21" s="18" customFormat="1" ht="45.75" customHeight="1" x14ac:dyDescent="0.3">
      <c r="B147" s="110" t="s">
        <v>1336</v>
      </c>
      <c r="C147" s="68" t="s">
        <v>453</v>
      </c>
      <c r="D147" s="68" t="s">
        <v>451</v>
      </c>
      <c r="E147" s="90" t="s">
        <v>1310</v>
      </c>
      <c r="F147" s="90" t="s">
        <v>1272</v>
      </c>
      <c r="G147" s="91" t="s">
        <v>1337</v>
      </c>
      <c r="H147" s="91" t="s">
        <v>1266</v>
      </c>
      <c r="I147" s="91" t="s">
        <v>1299</v>
      </c>
      <c r="J147" s="90" t="s">
        <v>1274</v>
      </c>
      <c r="K147" s="90" t="s">
        <v>504</v>
      </c>
      <c r="L147" s="75">
        <v>5</v>
      </c>
      <c r="M147" s="90" t="s">
        <v>693</v>
      </c>
      <c r="N147" s="90" t="s">
        <v>1275</v>
      </c>
      <c r="O147" s="69">
        <v>14.2</v>
      </c>
      <c r="P147" s="161" t="s">
        <v>1333</v>
      </c>
      <c r="Q147" s="163">
        <v>45973</v>
      </c>
      <c r="R147" s="114" t="s">
        <v>774</v>
      </c>
      <c r="S147" s="109" t="s">
        <v>1338</v>
      </c>
    </row>
    <row r="148" spans="2:21" ht="45.75" customHeight="1" x14ac:dyDescent="0.3">
      <c r="B148" s="164" t="s">
        <v>1339</v>
      </c>
      <c r="C148" s="79" t="s">
        <v>453</v>
      </c>
      <c r="D148" s="79" t="s">
        <v>451</v>
      </c>
      <c r="E148" s="95" t="s">
        <v>1310</v>
      </c>
      <c r="F148" s="95" t="s">
        <v>1272</v>
      </c>
      <c r="G148" s="96" t="s">
        <v>1337</v>
      </c>
      <c r="H148" s="96" t="s">
        <v>1266</v>
      </c>
      <c r="I148" s="96" t="s">
        <v>1299</v>
      </c>
      <c r="J148" s="95" t="s">
        <v>1274</v>
      </c>
      <c r="K148" s="95" t="s">
        <v>504</v>
      </c>
      <c r="L148" s="177">
        <v>5</v>
      </c>
      <c r="M148" s="95" t="s">
        <v>693</v>
      </c>
      <c r="N148" s="95" t="s">
        <v>1275</v>
      </c>
      <c r="O148" s="78" t="s">
        <v>1317</v>
      </c>
      <c r="P148" s="163" t="s">
        <v>1333</v>
      </c>
      <c r="Q148" s="163">
        <v>45973</v>
      </c>
      <c r="R148" s="79"/>
      <c r="S148" s="113" t="s">
        <v>1340</v>
      </c>
    </row>
    <row r="149" spans="2:21" ht="45.75" customHeight="1" x14ac:dyDescent="0.3">
      <c r="B149" s="110" t="s">
        <v>1341</v>
      </c>
      <c r="C149" s="68" t="s">
        <v>453</v>
      </c>
      <c r="D149" s="68" t="s">
        <v>451</v>
      </c>
      <c r="E149" s="90" t="s">
        <v>1310</v>
      </c>
      <c r="F149" s="90" t="s">
        <v>1342</v>
      </c>
      <c r="G149" s="91" t="s">
        <v>1343</v>
      </c>
      <c r="H149" s="72" t="s">
        <v>1242</v>
      </c>
      <c r="I149" s="72" t="s">
        <v>1305</v>
      </c>
      <c r="J149" s="69" t="s">
        <v>1306</v>
      </c>
      <c r="K149" s="69" t="s">
        <v>504</v>
      </c>
      <c r="L149" s="75">
        <v>5</v>
      </c>
      <c r="M149" s="69" t="s">
        <v>637</v>
      </c>
      <c r="N149" s="73" t="s">
        <v>1246</v>
      </c>
      <c r="O149" s="78">
        <v>14.3</v>
      </c>
      <c r="P149" s="161" t="s">
        <v>1333</v>
      </c>
      <c r="Q149" s="158">
        <v>45974</v>
      </c>
      <c r="R149" s="114" t="s">
        <v>774</v>
      </c>
      <c r="S149" s="113" t="s">
        <v>1344</v>
      </c>
    </row>
    <row r="150" spans="2:21" ht="45.75" customHeight="1" x14ac:dyDescent="0.3">
      <c r="B150" s="164" t="s">
        <v>1345</v>
      </c>
      <c r="C150" s="79" t="s">
        <v>664</v>
      </c>
      <c r="D150" s="79" t="s">
        <v>451</v>
      </c>
      <c r="E150" s="95" t="s">
        <v>1310</v>
      </c>
      <c r="F150" s="95" t="s">
        <v>1342</v>
      </c>
      <c r="G150" s="96" t="s">
        <v>1346</v>
      </c>
      <c r="H150" s="70" t="s">
        <v>1242</v>
      </c>
      <c r="I150" s="70" t="s">
        <v>1305</v>
      </c>
      <c r="J150" s="78" t="s">
        <v>1306</v>
      </c>
      <c r="K150" s="78" t="s">
        <v>504</v>
      </c>
      <c r="L150" s="177">
        <v>5</v>
      </c>
      <c r="M150" s="78" t="s">
        <v>637</v>
      </c>
      <c r="N150" s="128" t="s">
        <v>1246</v>
      </c>
      <c r="O150" s="78" t="s">
        <v>1294</v>
      </c>
      <c r="P150" s="163" t="s">
        <v>1333</v>
      </c>
      <c r="Q150" s="163">
        <v>45488</v>
      </c>
      <c r="R150" s="117" t="s">
        <v>1347</v>
      </c>
      <c r="S150" s="113" t="s">
        <v>1348</v>
      </c>
    </row>
    <row r="151" spans="2:21" ht="45.75" customHeight="1" x14ac:dyDescent="0.3">
      <c r="B151" s="111" t="s">
        <v>1349</v>
      </c>
      <c r="C151" s="83" t="s">
        <v>453</v>
      </c>
      <c r="D151" s="83" t="s">
        <v>451</v>
      </c>
      <c r="E151" s="92" t="s">
        <v>1310</v>
      </c>
      <c r="F151" s="92" t="s">
        <v>1311</v>
      </c>
      <c r="G151" s="93" t="s">
        <v>1312</v>
      </c>
      <c r="H151" s="93" t="s">
        <v>1313</v>
      </c>
      <c r="I151" s="93" t="s">
        <v>1350</v>
      </c>
      <c r="J151" s="93" t="s">
        <v>1351</v>
      </c>
      <c r="K151" s="92" t="s">
        <v>504</v>
      </c>
      <c r="L151" s="85">
        <v>5</v>
      </c>
      <c r="M151" s="92" t="s">
        <v>1316</v>
      </c>
      <c r="N151" s="92" t="s">
        <v>1195</v>
      </c>
      <c r="O151" s="84" t="s">
        <v>1352</v>
      </c>
      <c r="P151" s="162" t="s">
        <v>1333</v>
      </c>
      <c r="Q151" s="162">
        <v>45973</v>
      </c>
      <c r="R151" s="118" t="s">
        <v>1353</v>
      </c>
      <c r="S151" s="112" t="s">
        <v>1354</v>
      </c>
    </row>
    <row r="152" spans="2:21" ht="45.75" customHeight="1" x14ac:dyDescent="0.3">
      <c r="B152" s="110" t="s">
        <v>1355</v>
      </c>
      <c r="C152" s="68" t="s">
        <v>585</v>
      </c>
      <c r="D152" s="68" t="s">
        <v>451</v>
      </c>
      <c r="E152" s="90" t="s">
        <v>1310</v>
      </c>
      <c r="F152" s="90" t="s">
        <v>1356</v>
      </c>
      <c r="G152" s="91" t="s">
        <v>1357</v>
      </c>
      <c r="H152" s="91" t="s">
        <v>1322</v>
      </c>
      <c r="I152" s="91" t="s">
        <v>1358</v>
      </c>
      <c r="J152" s="90" t="s">
        <v>1359</v>
      </c>
      <c r="K152" s="90" t="s">
        <v>550</v>
      </c>
      <c r="L152" s="75">
        <v>5</v>
      </c>
      <c r="M152" s="90" t="s">
        <v>1360</v>
      </c>
      <c r="N152" s="90" t="s">
        <v>1361</v>
      </c>
      <c r="O152" s="69">
        <v>26.5</v>
      </c>
      <c r="P152" s="161" t="s">
        <v>1333</v>
      </c>
      <c r="Q152" s="163">
        <v>45973</v>
      </c>
      <c r="R152" s="79"/>
      <c r="S152" s="113" t="s">
        <v>1362</v>
      </c>
      <c r="U152" s="18"/>
    </row>
    <row r="153" spans="2:21" ht="45.75" customHeight="1" x14ac:dyDescent="0.3">
      <c r="B153" s="110" t="s">
        <v>1363</v>
      </c>
      <c r="C153" s="68" t="s">
        <v>453</v>
      </c>
      <c r="D153" s="68" t="s">
        <v>452</v>
      </c>
      <c r="E153" s="90" t="s">
        <v>1310</v>
      </c>
      <c r="F153" s="95" t="s">
        <v>1364</v>
      </c>
      <c r="G153" s="96" t="s">
        <v>1365</v>
      </c>
      <c r="H153" s="91" t="s">
        <v>1266</v>
      </c>
      <c r="I153" s="96" t="s">
        <v>1299</v>
      </c>
      <c r="J153" s="95" t="s">
        <v>1274</v>
      </c>
      <c r="K153" s="90" t="s">
        <v>504</v>
      </c>
      <c r="L153" s="75">
        <v>5</v>
      </c>
      <c r="M153" s="95" t="s">
        <v>1366</v>
      </c>
      <c r="N153" s="95" t="s">
        <v>682</v>
      </c>
      <c r="O153" s="78">
        <v>26.5</v>
      </c>
      <c r="P153" s="161" t="s">
        <v>1333</v>
      </c>
      <c r="Q153" s="163">
        <v>46188</v>
      </c>
      <c r="R153" s="97"/>
      <c r="S153" s="113" t="s">
        <v>1367</v>
      </c>
      <c r="U153" s="18"/>
    </row>
    <row r="154" spans="2:21" s="116" customFormat="1" ht="45.75" customHeight="1" x14ac:dyDescent="0.3">
      <c r="B154" s="164" t="s">
        <v>1368</v>
      </c>
      <c r="C154" s="79" t="s">
        <v>585</v>
      </c>
      <c r="D154" s="115" t="s">
        <v>964</v>
      </c>
      <c r="E154" s="95" t="s">
        <v>1153</v>
      </c>
      <c r="F154" s="95" t="s">
        <v>1369</v>
      </c>
      <c r="G154" s="95" t="s">
        <v>1370</v>
      </c>
      <c r="H154" s="96" t="s">
        <v>1371</v>
      </c>
      <c r="I154" s="96" t="s">
        <v>1372</v>
      </c>
      <c r="J154" s="90" t="s">
        <v>1373</v>
      </c>
      <c r="K154" s="95" t="s">
        <v>582</v>
      </c>
      <c r="L154" s="95">
        <v>5</v>
      </c>
      <c r="M154" s="95" t="s">
        <v>1374</v>
      </c>
      <c r="N154" s="95" t="s">
        <v>1375</v>
      </c>
      <c r="O154" s="79" t="s">
        <v>1376</v>
      </c>
      <c r="P154" s="163" t="s">
        <v>972</v>
      </c>
      <c r="Q154" s="158">
        <v>45979</v>
      </c>
      <c r="R154" s="79"/>
      <c r="S154" s="113"/>
    </row>
    <row r="155" spans="2:21" s="116" customFormat="1" ht="45.75" customHeight="1" x14ac:dyDescent="0.3">
      <c r="B155" s="110" t="s">
        <v>1377</v>
      </c>
      <c r="C155" s="68" t="s">
        <v>585</v>
      </c>
      <c r="D155" s="115" t="s">
        <v>964</v>
      </c>
      <c r="E155" s="95" t="s">
        <v>1153</v>
      </c>
      <c r="F155" s="95" t="s">
        <v>1378</v>
      </c>
      <c r="G155" s="95" t="s">
        <v>1379</v>
      </c>
      <c r="H155" s="96" t="s">
        <v>1322</v>
      </c>
      <c r="I155" s="96" t="s">
        <v>1323</v>
      </c>
      <c r="J155" s="95" t="s">
        <v>1359</v>
      </c>
      <c r="K155" s="95" t="s">
        <v>582</v>
      </c>
      <c r="L155" s="95">
        <v>5</v>
      </c>
      <c r="M155" s="95" t="s">
        <v>1380</v>
      </c>
      <c r="N155" s="95" t="s">
        <v>980</v>
      </c>
      <c r="O155" s="79" t="s">
        <v>1381</v>
      </c>
      <c r="P155" s="163" t="s">
        <v>1382</v>
      </c>
      <c r="Q155" s="163">
        <v>45973</v>
      </c>
      <c r="R155" s="114" t="s">
        <v>774</v>
      </c>
      <c r="S155" s="113"/>
    </row>
    <row r="156" spans="2:21" s="116" customFormat="1" ht="45.75" customHeight="1" x14ac:dyDescent="0.3">
      <c r="B156" s="110" t="s">
        <v>1383</v>
      </c>
      <c r="C156" s="68" t="s">
        <v>585</v>
      </c>
      <c r="D156" s="115" t="s">
        <v>1384</v>
      </c>
      <c r="E156" s="95" t="s">
        <v>1153</v>
      </c>
      <c r="F156" s="95" t="s">
        <v>1385</v>
      </c>
      <c r="G156" s="95" t="s">
        <v>1386</v>
      </c>
      <c r="H156" s="96" t="s">
        <v>1371</v>
      </c>
      <c r="I156" s="96" t="s">
        <v>1387</v>
      </c>
      <c r="J156" s="95" t="s">
        <v>1388</v>
      </c>
      <c r="K156" s="95" t="s">
        <v>582</v>
      </c>
      <c r="L156" s="95">
        <v>5</v>
      </c>
      <c r="M156" s="95" t="s">
        <v>1389</v>
      </c>
      <c r="N156" s="95" t="s">
        <v>1390</v>
      </c>
      <c r="O156" s="79" t="s">
        <v>1391</v>
      </c>
      <c r="P156" s="163" t="s">
        <v>1382</v>
      </c>
      <c r="Q156" s="163">
        <v>45973</v>
      </c>
      <c r="R156" s="115"/>
      <c r="S156" s="113" t="s">
        <v>1392</v>
      </c>
      <c r="U156" s="18"/>
    </row>
    <row r="157" spans="2:21" s="116" customFormat="1" ht="45.75" customHeight="1" x14ac:dyDescent="0.3">
      <c r="B157" s="157" t="s">
        <v>1393</v>
      </c>
      <c r="C157" s="152" t="s">
        <v>585</v>
      </c>
      <c r="D157" s="153" t="s">
        <v>964</v>
      </c>
      <c r="E157" s="154" t="s">
        <v>1153</v>
      </c>
      <c r="F157" s="154" t="s">
        <v>1394</v>
      </c>
      <c r="G157" s="154" t="s">
        <v>1395</v>
      </c>
      <c r="H157" s="155" t="s">
        <v>1396</v>
      </c>
      <c r="I157" s="155" t="s">
        <v>1350</v>
      </c>
      <c r="J157" s="154" t="s">
        <v>1351</v>
      </c>
      <c r="K157" s="154" t="s">
        <v>550</v>
      </c>
      <c r="L157" s="154">
        <v>5</v>
      </c>
      <c r="M157" s="154" t="s">
        <v>1397</v>
      </c>
      <c r="N157" s="154" t="s">
        <v>1246</v>
      </c>
      <c r="O157" s="190" t="s">
        <v>1398</v>
      </c>
      <c r="P157" s="191" t="s">
        <v>1382</v>
      </c>
      <c r="Q157" s="158">
        <v>45973</v>
      </c>
      <c r="R157" s="153"/>
      <c r="S157" s="156"/>
    </row>
    <row r="158" spans="2:21" s="116" customFormat="1" ht="45.75" customHeight="1" x14ac:dyDescent="0.3">
      <c r="B158" s="178" t="s">
        <v>1399</v>
      </c>
      <c r="C158" s="179" t="s">
        <v>585</v>
      </c>
      <c r="D158" s="180" t="s">
        <v>964</v>
      </c>
      <c r="E158" s="181" t="s">
        <v>1153</v>
      </c>
      <c r="F158" s="181" t="s">
        <v>1400</v>
      </c>
      <c r="G158" s="182" t="s">
        <v>1395</v>
      </c>
      <c r="H158" s="182" t="s">
        <v>1313</v>
      </c>
      <c r="I158" s="182" t="s">
        <v>1350</v>
      </c>
      <c r="J158" s="181" t="s">
        <v>1351</v>
      </c>
      <c r="K158" s="181" t="s">
        <v>582</v>
      </c>
      <c r="L158" s="181">
        <v>5</v>
      </c>
      <c r="M158" s="181" t="s">
        <v>637</v>
      </c>
      <c r="N158" s="181" t="s">
        <v>1401</v>
      </c>
      <c r="O158" s="84">
        <v>26.5</v>
      </c>
      <c r="P158" s="192" t="s">
        <v>1086</v>
      </c>
      <c r="Q158" s="162">
        <v>46190</v>
      </c>
      <c r="R158" s="225" t="s">
        <v>877</v>
      </c>
      <c r="S158" s="183" t="s">
        <v>1402</v>
      </c>
      <c r="U158" s="18"/>
    </row>
    <row r="159" spans="2:21" s="116" customFormat="1" ht="45.75" customHeight="1" x14ac:dyDescent="0.3">
      <c r="B159" s="178" t="s">
        <v>1403</v>
      </c>
      <c r="C159" s="179" t="s">
        <v>585</v>
      </c>
      <c r="D159" s="180" t="s">
        <v>964</v>
      </c>
      <c r="E159" s="181" t="s">
        <v>1153</v>
      </c>
      <c r="F159" s="181" t="s">
        <v>1404</v>
      </c>
      <c r="G159" s="182" t="s">
        <v>1405</v>
      </c>
      <c r="H159" s="182" t="s">
        <v>1322</v>
      </c>
      <c r="I159" s="182" t="s">
        <v>1323</v>
      </c>
      <c r="J159" s="181" t="s">
        <v>1359</v>
      </c>
      <c r="K159" s="181" t="s">
        <v>1043</v>
      </c>
      <c r="L159" s="181">
        <v>5</v>
      </c>
      <c r="M159" s="181" t="s">
        <v>693</v>
      </c>
      <c r="N159" s="181" t="s">
        <v>1406</v>
      </c>
      <c r="O159" s="84">
        <v>26.5</v>
      </c>
      <c r="P159" s="192" t="s">
        <v>1086</v>
      </c>
      <c r="Q159" s="162">
        <v>46160</v>
      </c>
      <c r="R159" s="180" t="s">
        <v>1019</v>
      </c>
      <c r="S159" s="183" t="s">
        <v>1407</v>
      </c>
      <c r="U159" s="18"/>
    </row>
    <row r="160" spans="2:21" s="116" customFormat="1" ht="45.75" customHeight="1" x14ac:dyDescent="0.3">
      <c r="B160" s="157" t="s">
        <v>1408</v>
      </c>
      <c r="C160" s="152" t="s">
        <v>585</v>
      </c>
      <c r="D160" s="153" t="s">
        <v>964</v>
      </c>
      <c r="E160" s="154" t="s">
        <v>1153</v>
      </c>
      <c r="F160" s="154" t="s">
        <v>1409</v>
      </c>
      <c r="G160" s="154" t="s">
        <v>1379</v>
      </c>
      <c r="H160" s="96" t="s">
        <v>1322</v>
      </c>
      <c r="I160" s="96" t="s">
        <v>1323</v>
      </c>
      <c r="J160" s="95" t="s">
        <v>1359</v>
      </c>
      <c r="K160" s="95" t="s">
        <v>582</v>
      </c>
      <c r="L160" s="95">
        <v>5</v>
      </c>
      <c r="M160" s="95" t="s">
        <v>1380</v>
      </c>
      <c r="N160" s="95" t="s">
        <v>980</v>
      </c>
      <c r="O160" s="79" t="s">
        <v>1294</v>
      </c>
      <c r="P160" s="191" t="s">
        <v>1086</v>
      </c>
      <c r="Q160" s="163">
        <v>45973</v>
      </c>
      <c r="R160" s="153"/>
      <c r="S160" s="156"/>
    </row>
    <row r="161" spans="2:21" s="116" customFormat="1" ht="45.75" customHeight="1" x14ac:dyDescent="0.3">
      <c r="B161" s="157" t="s">
        <v>1410</v>
      </c>
      <c r="C161" s="152" t="s">
        <v>585</v>
      </c>
      <c r="D161" s="153" t="s">
        <v>964</v>
      </c>
      <c r="E161" s="154" t="s">
        <v>1153</v>
      </c>
      <c r="F161" s="154" t="s">
        <v>1411</v>
      </c>
      <c r="G161" s="155" t="s">
        <v>1412</v>
      </c>
      <c r="H161" s="155" t="s">
        <v>1371</v>
      </c>
      <c r="I161" s="155" t="s">
        <v>1387</v>
      </c>
      <c r="J161" s="154" t="s">
        <v>1388</v>
      </c>
      <c r="K161" s="154" t="s">
        <v>1043</v>
      </c>
      <c r="L161" s="95">
        <v>5</v>
      </c>
      <c r="M161" s="154">
        <v>6.1</v>
      </c>
      <c r="N161" s="154" t="s">
        <v>1406</v>
      </c>
      <c r="O161" s="190" t="s">
        <v>1413</v>
      </c>
      <c r="P161" s="191" t="s">
        <v>1086</v>
      </c>
      <c r="Q161" s="163">
        <v>45973</v>
      </c>
      <c r="R161" s="153"/>
      <c r="S161" s="156"/>
    </row>
    <row r="162" spans="2:21" s="116" customFormat="1" ht="45.75" customHeight="1" x14ac:dyDescent="0.3">
      <c r="B162" s="164" t="s">
        <v>1414</v>
      </c>
      <c r="C162" s="68" t="s">
        <v>585</v>
      </c>
      <c r="D162" s="115" t="s">
        <v>964</v>
      </c>
      <c r="E162" s="95" t="s">
        <v>1153</v>
      </c>
      <c r="F162" s="95" t="s">
        <v>1415</v>
      </c>
      <c r="G162" s="96" t="s">
        <v>1416</v>
      </c>
      <c r="H162" s="96" t="s">
        <v>1371</v>
      </c>
      <c r="I162" s="96" t="s">
        <v>1387</v>
      </c>
      <c r="J162" s="95" t="s">
        <v>1388</v>
      </c>
      <c r="K162" s="95" t="s">
        <v>582</v>
      </c>
      <c r="L162" s="95">
        <v>5</v>
      </c>
      <c r="M162" s="95" t="s">
        <v>1417</v>
      </c>
      <c r="N162" s="95" t="s">
        <v>980</v>
      </c>
      <c r="O162" s="79" t="s">
        <v>1418</v>
      </c>
      <c r="P162" s="163" t="s">
        <v>1419</v>
      </c>
      <c r="Q162" s="163">
        <v>45974</v>
      </c>
      <c r="R162" s="115"/>
      <c r="S162" s="113" t="s">
        <v>1420</v>
      </c>
      <c r="U162" s="18"/>
    </row>
    <row r="163" spans="2:21" s="116" customFormat="1" ht="45.75" customHeight="1" x14ac:dyDescent="0.3">
      <c r="B163" s="164" t="s">
        <v>1421</v>
      </c>
      <c r="C163" s="68" t="s">
        <v>585</v>
      </c>
      <c r="D163" s="115" t="s">
        <v>964</v>
      </c>
      <c r="E163" s="95" t="s">
        <v>1153</v>
      </c>
      <c r="F163" s="95" t="s">
        <v>1422</v>
      </c>
      <c r="G163" s="96" t="s">
        <v>1423</v>
      </c>
      <c r="H163" s="96" t="s">
        <v>1371</v>
      </c>
      <c r="I163" s="96" t="s">
        <v>1387</v>
      </c>
      <c r="J163" s="95" t="s">
        <v>1388</v>
      </c>
      <c r="K163" s="95" t="s">
        <v>582</v>
      </c>
      <c r="L163" s="95">
        <v>5</v>
      </c>
      <c r="M163" s="95" t="s">
        <v>1424</v>
      </c>
      <c r="N163" s="95" t="s">
        <v>1406</v>
      </c>
      <c r="O163" s="79" t="s">
        <v>1425</v>
      </c>
      <c r="P163" s="163">
        <v>45539</v>
      </c>
      <c r="Q163" s="163">
        <v>45979</v>
      </c>
      <c r="R163" s="226"/>
      <c r="S163" s="113"/>
      <c r="U163" s="18"/>
    </row>
    <row r="164" spans="2:21" s="116" customFormat="1" ht="45.75" customHeight="1" x14ac:dyDescent="0.3">
      <c r="B164" s="111" t="s">
        <v>1426</v>
      </c>
      <c r="C164" s="83" t="s">
        <v>585</v>
      </c>
      <c r="D164" s="227" t="s">
        <v>964</v>
      </c>
      <c r="E164" s="92" t="s">
        <v>1153</v>
      </c>
      <c r="F164" s="92" t="s">
        <v>1422</v>
      </c>
      <c r="G164" s="93" t="s">
        <v>1427</v>
      </c>
      <c r="H164" s="93" t="s">
        <v>1371</v>
      </c>
      <c r="I164" s="93" t="s">
        <v>1387</v>
      </c>
      <c r="J164" s="92" t="s">
        <v>1388</v>
      </c>
      <c r="K164" s="92" t="s">
        <v>582</v>
      </c>
      <c r="L164" s="92">
        <v>5</v>
      </c>
      <c r="M164" s="92" t="s">
        <v>1424</v>
      </c>
      <c r="N164" s="92" t="s">
        <v>1406</v>
      </c>
      <c r="O164" s="84">
        <v>26.5</v>
      </c>
      <c r="P164" s="162">
        <v>45539</v>
      </c>
      <c r="Q164" s="162">
        <v>46190</v>
      </c>
      <c r="R164" s="227" t="s">
        <v>877</v>
      </c>
      <c r="S164" s="112"/>
      <c r="U164" s="18"/>
    </row>
    <row r="165" spans="2:21" s="116" customFormat="1" ht="45.75" hidden="1" customHeight="1" x14ac:dyDescent="0.3">
      <c r="B165" s="164" t="s">
        <v>1428</v>
      </c>
      <c r="C165" s="68" t="s">
        <v>1164</v>
      </c>
      <c r="D165" s="115" t="s">
        <v>964</v>
      </c>
      <c r="E165" s="95" t="s">
        <v>1153</v>
      </c>
      <c r="F165" s="95" t="s">
        <v>1429</v>
      </c>
      <c r="G165" s="96" t="s">
        <v>1430</v>
      </c>
      <c r="H165" s="96" t="s">
        <v>1371</v>
      </c>
      <c r="I165" s="96" t="s">
        <v>1387</v>
      </c>
      <c r="J165" s="95" t="s">
        <v>1388</v>
      </c>
      <c r="K165" s="95" t="s">
        <v>1043</v>
      </c>
      <c r="L165" s="95">
        <v>5</v>
      </c>
      <c r="M165" s="95" t="s">
        <v>789</v>
      </c>
      <c r="N165" s="95" t="s">
        <v>1431</v>
      </c>
      <c r="O165" s="79" t="s">
        <v>1425</v>
      </c>
      <c r="P165" s="163">
        <v>45539</v>
      </c>
      <c r="Q165" s="163">
        <v>45978</v>
      </c>
      <c r="R165" s="226" t="s">
        <v>2660</v>
      </c>
      <c r="S165" s="113"/>
      <c r="U165" s="18"/>
    </row>
    <row r="166" spans="2:21" s="116" customFormat="1" ht="45.75" customHeight="1" x14ac:dyDescent="0.3">
      <c r="B166" s="164" t="s">
        <v>1432</v>
      </c>
      <c r="C166" s="68" t="s">
        <v>585</v>
      </c>
      <c r="D166" s="115" t="s">
        <v>964</v>
      </c>
      <c r="E166" s="95" t="s">
        <v>1153</v>
      </c>
      <c r="F166" s="95" t="s">
        <v>1433</v>
      </c>
      <c r="G166" s="96" t="s">
        <v>1434</v>
      </c>
      <c r="H166" s="96" t="s">
        <v>1371</v>
      </c>
      <c r="I166" s="96" t="s">
        <v>1387</v>
      </c>
      <c r="J166" s="95" t="s">
        <v>1388</v>
      </c>
      <c r="K166" s="95" t="s">
        <v>1043</v>
      </c>
      <c r="L166" s="95">
        <v>5.3</v>
      </c>
      <c r="M166" s="95" t="s">
        <v>1424</v>
      </c>
      <c r="N166" s="95" t="s">
        <v>1406</v>
      </c>
      <c r="O166" s="79" t="s">
        <v>1435</v>
      </c>
      <c r="P166" s="163">
        <v>45539</v>
      </c>
      <c r="Q166" s="163">
        <v>45973</v>
      </c>
      <c r="R166" s="226"/>
      <c r="S166" s="113"/>
      <c r="U166" s="18"/>
    </row>
    <row r="167" spans="2:21" s="116" customFormat="1" ht="45.75" customHeight="1" x14ac:dyDescent="0.3">
      <c r="B167" s="164" t="s">
        <v>1436</v>
      </c>
      <c r="C167" s="68" t="s">
        <v>585</v>
      </c>
      <c r="D167" s="115" t="s">
        <v>964</v>
      </c>
      <c r="E167" s="95" t="s">
        <v>1153</v>
      </c>
      <c r="F167" s="95" t="s">
        <v>1437</v>
      </c>
      <c r="G167" s="96" t="s">
        <v>1438</v>
      </c>
      <c r="H167" s="96" t="s">
        <v>1371</v>
      </c>
      <c r="I167" s="96" t="s">
        <v>1387</v>
      </c>
      <c r="J167" s="95" t="s">
        <v>1388</v>
      </c>
      <c r="K167" s="95" t="s">
        <v>1043</v>
      </c>
      <c r="L167" s="95">
        <v>5.3</v>
      </c>
      <c r="M167" s="95" t="s">
        <v>789</v>
      </c>
      <c r="N167" s="95" t="s">
        <v>1431</v>
      </c>
      <c r="O167" s="79" t="s">
        <v>1439</v>
      </c>
      <c r="P167" s="163">
        <v>45539</v>
      </c>
      <c r="Q167" s="163">
        <v>45973</v>
      </c>
      <c r="R167" s="115"/>
      <c r="S167" s="113"/>
      <c r="U167" s="18"/>
    </row>
    <row r="168" spans="2:21" s="116" customFormat="1" ht="45.75" hidden="1" customHeight="1" x14ac:dyDescent="0.3">
      <c r="B168" s="164" t="s">
        <v>1440</v>
      </c>
      <c r="C168" s="68" t="s">
        <v>1164</v>
      </c>
      <c r="D168" s="115" t="s">
        <v>964</v>
      </c>
      <c r="E168" s="95" t="s">
        <v>1153</v>
      </c>
      <c r="F168" s="95" t="s">
        <v>1441</v>
      </c>
      <c r="G168" s="96" t="s">
        <v>1442</v>
      </c>
      <c r="H168" s="96" t="s">
        <v>1443</v>
      </c>
      <c r="I168" s="96" t="s">
        <v>1444</v>
      </c>
      <c r="J168" s="95" t="s">
        <v>1445</v>
      </c>
      <c r="K168" s="95" t="s">
        <v>987</v>
      </c>
      <c r="L168" s="95">
        <v>5.3</v>
      </c>
      <c r="M168" s="95" t="s">
        <v>693</v>
      </c>
      <c r="N168" s="95" t="s">
        <v>1446</v>
      </c>
      <c r="O168" s="79" t="s">
        <v>1447</v>
      </c>
      <c r="P168" s="163">
        <v>45539</v>
      </c>
      <c r="Q168" s="163">
        <v>45973</v>
      </c>
      <c r="R168" s="226" t="s">
        <v>2659</v>
      </c>
      <c r="S168" s="113"/>
      <c r="U168" s="18"/>
    </row>
    <row r="169" spans="2:21" s="116" customFormat="1" ht="45.75" customHeight="1" x14ac:dyDescent="0.3">
      <c r="B169" s="164" t="s">
        <v>1448</v>
      </c>
      <c r="C169" s="68" t="s">
        <v>585</v>
      </c>
      <c r="D169" s="115" t="s">
        <v>1384</v>
      </c>
      <c r="E169" s="95" t="s">
        <v>1153</v>
      </c>
      <c r="F169" s="95" t="s">
        <v>1449</v>
      </c>
      <c r="G169" s="96" t="s">
        <v>1450</v>
      </c>
      <c r="H169" s="96" t="s">
        <v>1451</v>
      </c>
      <c r="I169" s="96" t="s">
        <v>1452</v>
      </c>
      <c r="J169" s="95" t="s">
        <v>1283</v>
      </c>
      <c r="K169" s="95" t="s">
        <v>730</v>
      </c>
      <c r="L169" s="95">
        <v>5</v>
      </c>
      <c r="M169" s="95" t="s">
        <v>1453</v>
      </c>
      <c r="N169" s="95" t="s">
        <v>1326</v>
      </c>
      <c r="O169" s="79" t="s">
        <v>1454</v>
      </c>
      <c r="P169" s="163">
        <v>45539</v>
      </c>
      <c r="Q169" s="163">
        <v>45979</v>
      </c>
      <c r="R169" s="226"/>
      <c r="S169" s="113"/>
      <c r="U169" s="18"/>
    </row>
    <row r="170" spans="2:21" s="116" customFormat="1" ht="45.75" customHeight="1" x14ac:dyDescent="0.3">
      <c r="B170" s="157" t="s">
        <v>1455</v>
      </c>
      <c r="C170" s="152" t="s">
        <v>585</v>
      </c>
      <c r="D170" s="153" t="s">
        <v>451</v>
      </c>
      <c r="E170" s="154" t="s">
        <v>1153</v>
      </c>
      <c r="F170" s="154" t="s">
        <v>1456</v>
      </c>
      <c r="G170" s="155" t="s">
        <v>2652</v>
      </c>
      <c r="H170" s="155" t="s">
        <v>1457</v>
      </c>
      <c r="I170" s="155" t="s">
        <v>1458</v>
      </c>
      <c r="J170" s="154" t="s">
        <v>1459</v>
      </c>
      <c r="K170" s="154" t="s">
        <v>987</v>
      </c>
      <c r="L170" s="154">
        <v>5.3</v>
      </c>
      <c r="M170" s="154" t="s">
        <v>693</v>
      </c>
      <c r="N170" s="154" t="s">
        <v>1446</v>
      </c>
      <c r="O170" s="190" t="s">
        <v>1460</v>
      </c>
      <c r="P170" s="191">
        <v>45561</v>
      </c>
      <c r="Q170" s="191">
        <v>45973</v>
      </c>
      <c r="R170" s="153"/>
      <c r="S170" s="156"/>
      <c r="U170" s="18"/>
    </row>
    <row r="171" spans="2:21" ht="35.25" customHeight="1" x14ac:dyDescent="0.3">
      <c r="B171" s="282" t="s">
        <v>2669</v>
      </c>
      <c r="C171" s="283" t="s">
        <v>585</v>
      </c>
      <c r="D171" s="284" t="s">
        <v>451</v>
      </c>
      <c r="E171" s="285" t="s">
        <v>1153</v>
      </c>
      <c r="F171" s="285" t="s">
        <v>2683</v>
      </c>
      <c r="G171" s="286" t="s">
        <v>2684</v>
      </c>
      <c r="H171" s="286" t="s">
        <v>2689</v>
      </c>
      <c r="I171" s="286" t="s">
        <v>2691</v>
      </c>
      <c r="J171" s="285" t="s">
        <v>2690</v>
      </c>
      <c r="K171" s="285" t="s">
        <v>2692</v>
      </c>
      <c r="L171" s="285">
        <v>5.3</v>
      </c>
      <c r="M171" s="285" t="s">
        <v>693</v>
      </c>
      <c r="N171" s="285" t="s">
        <v>1446</v>
      </c>
      <c r="O171" s="287" t="s">
        <v>2677</v>
      </c>
      <c r="P171" s="288">
        <v>46188</v>
      </c>
      <c r="Q171" s="288">
        <v>46188</v>
      </c>
      <c r="R171" s="284"/>
      <c r="S171" s="289"/>
    </row>
    <row r="172" spans="2:21" ht="35.25" customHeight="1" x14ac:dyDescent="0.3">
      <c r="B172" s="282" t="s">
        <v>2670</v>
      </c>
      <c r="C172" s="283" t="s">
        <v>585</v>
      </c>
      <c r="D172" s="284" t="s">
        <v>451</v>
      </c>
      <c r="E172" s="285" t="s">
        <v>1153</v>
      </c>
      <c r="F172" s="285" t="s">
        <v>2675</v>
      </c>
      <c r="G172" s="286" t="s">
        <v>2676</v>
      </c>
      <c r="H172" s="286" t="s">
        <v>2703</v>
      </c>
      <c r="I172" s="286" t="s">
        <v>2705</v>
      </c>
      <c r="J172" s="285" t="s">
        <v>2704</v>
      </c>
      <c r="K172" s="285" t="s">
        <v>2698</v>
      </c>
      <c r="L172" s="285">
        <v>5.3</v>
      </c>
      <c r="M172" s="285" t="s">
        <v>2706</v>
      </c>
      <c r="N172" s="285" t="s">
        <v>2201</v>
      </c>
      <c r="O172" s="287" t="s">
        <v>2677</v>
      </c>
      <c r="P172" s="288">
        <v>46188</v>
      </c>
      <c r="Q172" s="288">
        <v>46188</v>
      </c>
      <c r="R172" s="284"/>
      <c r="S172" s="289"/>
    </row>
    <row r="173" spans="2:21" ht="35.25" customHeight="1" x14ac:dyDescent="0.3">
      <c r="B173" s="282" t="s">
        <v>2671</v>
      </c>
      <c r="C173" s="283" t="s">
        <v>585</v>
      </c>
      <c r="D173" s="284" t="s">
        <v>451</v>
      </c>
      <c r="E173" s="285" t="s">
        <v>1153</v>
      </c>
      <c r="F173" s="285" t="s">
        <v>2683</v>
      </c>
      <c r="G173" s="286" t="s">
        <v>2684</v>
      </c>
      <c r="H173" s="286" t="s">
        <v>2689</v>
      </c>
      <c r="I173" s="286" t="s">
        <v>2691</v>
      </c>
      <c r="J173" s="285" t="s">
        <v>2690</v>
      </c>
      <c r="K173" s="285" t="s">
        <v>2692</v>
      </c>
      <c r="L173" s="285">
        <v>5.3</v>
      </c>
      <c r="M173" s="285" t="s">
        <v>693</v>
      </c>
      <c r="N173" s="285" t="s">
        <v>1446</v>
      </c>
      <c r="O173" s="287" t="s">
        <v>2688</v>
      </c>
      <c r="P173" s="288">
        <v>46188</v>
      </c>
      <c r="Q173" s="288">
        <v>46188</v>
      </c>
      <c r="R173" s="284"/>
      <c r="S173" s="289"/>
    </row>
    <row r="174" spans="2:21" ht="35.25" customHeight="1" x14ac:dyDescent="0.3">
      <c r="B174" s="282" t="s">
        <v>2672</v>
      </c>
      <c r="C174" s="283" t="s">
        <v>585</v>
      </c>
      <c r="D174" s="284" t="s">
        <v>451</v>
      </c>
      <c r="E174" s="285" t="s">
        <v>1153</v>
      </c>
      <c r="F174" s="285" t="s">
        <v>2685</v>
      </c>
      <c r="G174" s="286" t="s">
        <v>2687</v>
      </c>
      <c r="H174" s="286" t="s">
        <v>2693</v>
      </c>
      <c r="I174" s="286" t="s">
        <v>2694</v>
      </c>
      <c r="J174" s="285" t="s">
        <v>2690</v>
      </c>
      <c r="K174" s="285" t="s">
        <v>2698</v>
      </c>
      <c r="L174" s="285">
        <v>5.3</v>
      </c>
      <c r="M174" s="285" t="s">
        <v>693</v>
      </c>
      <c r="N174" s="285" t="s">
        <v>1446</v>
      </c>
      <c r="O174" s="287" t="s">
        <v>2686</v>
      </c>
      <c r="P174" s="288">
        <v>46188</v>
      </c>
      <c r="Q174" s="288">
        <v>46188</v>
      </c>
      <c r="R174" s="284"/>
      <c r="S174" s="289"/>
    </row>
    <row r="175" spans="2:21" ht="35.25" customHeight="1" x14ac:dyDescent="0.3">
      <c r="B175" s="282" t="s">
        <v>2673</v>
      </c>
      <c r="C175" s="283" t="s">
        <v>585</v>
      </c>
      <c r="D175" s="284" t="s">
        <v>451</v>
      </c>
      <c r="E175" s="285" t="s">
        <v>1153</v>
      </c>
      <c r="F175" s="285" t="s">
        <v>2678</v>
      </c>
      <c r="G175" s="286" t="s">
        <v>2679</v>
      </c>
      <c r="H175" s="286" t="s">
        <v>2693</v>
      </c>
      <c r="I175" s="286" t="s">
        <v>2694</v>
      </c>
      <c r="J175" s="285" t="s">
        <v>2690</v>
      </c>
      <c r="K175" s="285" t="s">
        <v>2698</v>
      </c>
      <c r="L175" s="285">
        <v>5.3</v>
      </c>
      <c r="M175" s="285" t="s">
        <v>2702</v>
      </c>
      <c r="N175" s="285" t="s">
        <v>2196</v>
      </c>
      <c r="O175" s="287" t="s">
        <v>2677</v>
      </c>
      <c r="P175" s="288">
        <v>46188</v>
      </c>
      <c r="Q175" s="288">
        <v>46188</v>
      </c>
      <c r="R175" s="284"/>
      <c r="S175" s="289"/>
    </row>
    <row r="176" spans="2:21" ht="35.25" customHeight="1" thickBot="1" x14ac:dyDescent="0.35">
      <c r="B176" s="290" t="s">
        <v>2674</v>
      </c>
      <c r="C176" s="291" t="s">
        <v>585</v>
      </c>
      <c r="D176" s="292" t="s">
        <v>451</v>
      </c>
      <c r="E176" s="293" t="s">
        <v>1153</v>
      </c>
      <c r="F176" s="293" t="s">
        <v>2680</v>
      </c>
      <c r="G176" s="294" t="s">
        <v>2681</v>
      </c>
      <c r="H176" s="294" t="s">
        <v>2695</v>
      </c>
      <c r="I176" s="294" t="s">
        <v>2696</v>
      </c>
      <c r="J176" s="293" t="s">
        <v>2697</v>
      </c>
      <c r="K176" s="293" t="s">
        <v>2699</v>
      </c>
      <c r="L176" s="293">
        <v>5.3</v>
      </c>
      <c r="M176" s="293" t="s">
        <v>2700</v>
      </c>
      <c r="N176" s="293" t="s">
        <v>2701</v>
      </c>
      <c r="O176" s="295" t="s">
        <v>2682</v>
      </c>
      <c r="P176" s="296">
        <v>46188</v>
      </c>
      <c r="Q176" s="296">
        <v>46188</v>
      </c>
      <c r="R176" s="292"/>
      <c r="S176" s="297"/>
    </row>
    <row r="177" ht="35.25" customHeight="1" x14ac:dyDescent="0.3"/>
    <row r="178" ht="35.25" customHeight="1" x14ac:dyDescent="0.3"/>
  </sheetData>
  <autoFilter ref="B14:S176">
    <filterColumn colId="1">
      <filters>
        <filter val="수리"/>
        <filter val="정상"/>
      </filters>
    </filterColumn>
  </autoFilter>
  <mergeCells count="6">
    <mergeCell ref="B10:B12"/>
    <mergeCell ref="B2:S3"/>
    <mergeCell ref="B5:B6"/>
    <mergeCell ref="C5:C6"/>
    <mergeCell ref="D5:E5"/>
    <mergeCell ref="B7:B9"/>
  </mergeCells>
  <phoneticPr fontId="2" type="noConversion"/>
  <conditionalFormatting sqref="C15:C176 B73:B74">
    <cfRule type="cellIs" dxfId="2" priority="1" operator="equal">
      <formula>"대여"</formula>
    </cfRule>
    <cfRule type="cellIs" dxfId="1" priority="4" operator="equal">
      <formula>"수리"</formula>
    </cfRule>
    <cfRule type="cellIs" dxfId="0" priority="5" operator="equal">
      <formula>"폐기"</formula>
    </cfRule>
  </conditionalFormatting>
  <dataValidations count="1">
    <dataValidation type="list" allowBlank="1" showInputMessage="1" showErrorMessage="1" sqref="C15:C176">
      <formula1>"정상,폐기,수리,대여"</formula1>
    </dataValidation>
  </dataValidations>
  <pageMargins left="0.7" right="0.7" top="0.75" bottom="0.75" header="0.3" footer="0.3"/>
  <pageSetup paperSize="9" orientation="portrait" r:id="rId1"/>
  <ignoredErrors>
    <ignoredError sqref="O22:O2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71"/>
  <sheetViews>
    <sheetView showGridLines="0" zoomScaleNormal="100" workbookViewId="0">
      <selection activeCell="B6" sqref="B6:J6"/>
    </sheetView>
  </sheetViews>
  <sheetFormatPr defaultRowHeight="16.5" x14ac:dyDescent="0.3"/>
  <cols>
    <col min="1" max="1" width="0.625" customWidth="1"/>
    <col min="2" max="2" width="9" style="19" customWidth="1"/>
    <col min="3" max="4" width="9" style="19"/>
    <col min="5" max="5" width="38.875" style="20" customWidth="1"/>
    <col min="6" max="6" width="34.125" style="211" bestFit="1" customWidth="1"/>
    <col min="7" max="7" width="9" style="41"/>
    <col min="8" max="8" width="11.5" style="41" bestFit="1" customWidth="1"/>
    <col min="9" max="9" width="10.875" style="240" customWidth="1"/>
    <col min="10" max="10" width="27.375" style="20" customWidth="1"/>
  </cols>
  <sheetData>
    <row r="1" spans="2:10" ht="4.5" customHeight="1" x14ac:dyDescent="0.3"/>
    <row r="2" spans="2:10" x14ac:dyDescent="0.3">
      <c r="B2" s="368" t="s">
        <v>1461</v>
      </c>
      <c r="C2" s="368"/>
      <c r="D2" s="368"/>
      <c r="E2" s="368"/>
      <c r="F2" s="368"/>
      <c r="G2" s="368"/>
      <c r="H2" s="368"/>
      <c r="I2" s="368"/>
      <c r="J2" s="368"/>
    </row>
    <row r="3" spans="2:10" x14ac:dyDescent="0.3">
      <c r="B3" s="368"/>
      <c r="C3" s="368"/>
      <c r="D3" s="368"/>
      <c r="E3" s="368"/>
      <c r="F3" s="368"/>
      <c r="G3" s="368"/>
      <c r="H3" s="368"/>
      <c r="I3" s="368"/>
      <c r="J3" s="368"/>
    </row>
    <row r="4" spans="2:10" ht="17.25" thickBot="1" x14ac:dyDescent="0.35"/>
    <row r="5" spans="2:10" s="18" customFormat="1" ht="18.75" customHeight="1" x14ac:dyDescent="0.3">
      <c r="B5" s="228"/>
      <c r="C5" s="229"/>
      <c r="D5" s="229"/>
      <c r="E5" s="229"/>
      <c r="F5" s="230"/>
      <c r="G5" s="229"/>
      <c r="H5" s="229"/>
      <c r="I5" s="231" t="s">
        <v>1462</v>
      </c>
      <c r="J5" s="232">
        <v>46098</v>
      </c>
    </row>
    <row r="6" spans="2:10" s="15" customFormat="1" ht="18.75" customHeight="1" x14ac:dyDescent="0.3">
      <c r="B6" s="233" t="s">
        <v>1463</v>
      </c>
      <c r="C6" s="234" t="s">
        <v>1464</v>
      </c>
      <c r="D6" s="234" t="s">
        <v>458</v>
      </c>
      <c r="E6" s="234" t="s">
        <v>1465</v>
      </c>
      <c r="F6" s="235" t="s">
        <v>1466</v>
      </c>
      <c r="G6" s="234" t="s">
        <v>1467</v>
      </c>
      <c r="H6" s="234" t="s">
        <v>1468</v>
      </c>
      <c r="I6" s="281" t="s">
        <v>468</v>
      </c>
      <c r="J6" s="236" t="s">
        <v>471</v>
      </c>
    </row>
    <row r="7" spans="2:10" x14ac:dyDescent="0.3">
      <c r="B7" s="241" t="s">
        <v>1469</v>
      </c>
      <c r="C7" s="237" t="s">
        <v>1470</v>
      </c>
      <c r="D7" s="237" t="s">
        <v>1471</v>
      </c>
      <c r="E7" s="242" t="s">
        <v>1472</v>
      </c>
      <c r="F7" s="243" t="s">
        <v>634</v>
      </c>
      <c r="G7" s="237" t="s">
        <v>995</v>
      </c>
      <c r="H7" s="237" t="s">
        <v>638</v>
      </c>
      <c r="I7" s="237" t="s">
        <v>1473</v>
      </c>
      <c r="J7" s="238"/>
    </row>
    <row r="8" spans="2:10" ht="24" x14ac:dyDescent="0.3">
      <c r="B8" s="241" t="s">
        <v>1474</v>
      </c>
      <c r="C8" s="237" t="s">
        <v>1475</v>
      </c>
      <c r="D8" s="237" t="s">
        <v>1471</v>
      </c>
      <c r="E8" s="242" t="s">
        <v>1476</v>
      </c>
      <c r="F8" s="243" t="s">
        <v>612</v>
      </c>
      <c r="G8" s="237" t="s">
        <v>524</v>
      </c>
      <c r="H8" s="237" t="s">
        <v>643</v>
      </c>
      <c r="I8" s="237" t="s">
        <v>1477</v>
      </c>
      <c r="J8" s="238"/>
    </row>
    <row r="9" spans="2:10" ht="24" x14ac:dyDescent="0.3">
      <c r="B9" s="241" t="s">
        <v>1474</v>
      </c>
      <c r="C9" s="237" t="s">
        <v>1478</v>
      </c>
      <c r="D9" s="237" t="s">
        <v>1479</v>
      </c>
      <c r="E9" s="242" t="s">
        <v>1480</v>
      </c>
      <c r="F9" s="243" t="s">
        <v>1481</v>
      </c>
      <c r="G9" s="237" t="s">
        <v>1482</v>
      </c>
      <c r="H9" s="237" t="s">
        <v>643</v>
      </c>
      <c r="I9" s="237" t="s">
        <v>1473</v>
      </c>
      <c r="J9" s="238"/>
    </row>
    <row r="10" spans="2:10" ht="24" x14ac:dyDescent="0.3">
      <c r="B10" s="241" t="s">
        <v>1474</v>
      </c>
      <c r="C10" s="237" t="s">
        <v>1483</v>
      </c>
      <c r="D10" s="237" t="s">
        <v>1479</v>
      </c>
      <c r="E10" s="242" t="s">
        <v>1484</v>
      </c>
      <c r="F10" s="243" t="s">
        <v>1485</v>
      </c>
      <c r="G10" s="237" t="s">
        <v>537</v>
      </c>
      <c r="H10" s="237" t="s">
        <v>765</v>
      </c>
      <c r="I10" s="237" t="s">
        <v>629</v>
      </c>
      <c r="J10" s="238"/>
    </row>
    <row r="11" spans="2:10" x14ac:dyDescent="0.3">
      <c r="B11" s="241" t="s">
        <v>1474</v>
      </c>
      <c r="C11" s="237" t="s">
        <v>1486</v>
      </c>
      <c r="D11" s="237" t="s">
        <v>1471</v>
      </c>
      <c r="E11" s="242" t="s">
        <v>1487</v>
      </c>
      <c r="F11" s="243" t="s">
        <v>634</v>
      </c>
      <c r="G11" s="237" t="s">
        <v>1397</v>
      </c>
      <c r="H11" s="237" t="s">
        <v>638</v>
      </c>
      <c r="I11" s="237" t="s">
        <v>1473</v>
      </c>
      <c r="J11" s="238"/>
    </row>
    <row r="12" spans="2:10" x14ac:dyDescent="0.3">
      <c r="B12" s="241" t="s">
        <v>1474</v>
      </c>
      <c r="C12" s="237" t="s">
        <v>1488</v>
      </c>
      <c r="D12" s="237" t="s">
        <v>1471</v>
      </c>
      <c r="E12" s="242" t="s">
        <v>1489</v>
      </c>
      <c r="F12" s="243" t="s">
        <v>634</v>
      </c>
      <c r="G12" s="237" t="s">
        <v>1490</v>
      </c>
      <c r="H12" s="237" t="s">
        <v>638</v>
      </c>
      <c r="I12" s="237" t="s">
        <v>591</v>
      </c>
      <c r="J12" s="238"/>
    </row>
    <row r="13" spans="2:10" x14ac:dyDescent="0.3">
      <c r="B13" s="241" t="s">
        <v>1474</v>
      </c>
      <c r="C13" s="237" t="s">
        <v>1491</v>
      </c>
      <c r="D13" s="237" t="s">
        <v>1471</v>
      </c>
      <c r="E13" s="242" t="s">
        <v>1492</v>
      </c>
      <c r="F13" s="243" t="s">
        <v>1493</v>
      </c>
      <c r="G13" s="237" t="s">
        <v>537</v>
      </c>
      <c r="H13" s="237" t="s">
        <v>494</v>
      </c>
      <c r="I13" s="237" t="s">
        <v>1473</v>
      </c>
      <c r="J13" s="238"/>
    </row>
    <row r="14" spans="2:10" ht="24" x14ac:dyDescent="0.3">
      <c r="B14" s="241" t="s">
        <v>1474</v>
      </c>
      <c r="C14" s="237" t="s">
        <v>1494</v>
      </c>
      <c r="D14" s="237" t="s">
        <v>1479</v>
      </c>
      <c r="E14" s="242" t="s">
        <v>1480</v>
      </c>
      <c r="F14" s="243" t="s">
        <v>1481</v>
      </c>
      <c r="G14" s="237" t="s">
        <v>1482</v>
      </c>
      <c r="H14" s="237" t="s">
        <v>643</v>
      </c>
      <c r="I14" s="237" t="s">
        <v>1473</v>
      </c>
      <c r="J14" s="238"/>
    </row>
    <row r="15" spans="2:10" x14ac:dyDescent="0.3">
      <c r="B15" s="241" t="s">
        <v>1474</v>
      </c>
      <c r="C15" s="237" t="s">
        <v>1495</v>
      </c>
      <c r="D15" s="237" t="s">
        <v>1471</v>
      </c>
      <c r="E15" s="242" t="s">
        <v>1496</v>
      </c>
      <c r="F15" s="243" t="s">
        <v>1497</v>
      </c>
      <c r="G15" s="237" t="s">
        <v>524</v>
      </c>
      <c r="H15" s="237" t="s">
        <v>494</v>
      </c>
      <c r="I15" s="237" t="s">
        <v>591</v>
      </c>
      <c r="J15" s="238"/>
    </row>
    <row r="16" spans="2:10" x14ac:dyDescent="0.3">
      <c r="B16" s="241" t="s">
        <v>1474</v>
      </c>
      <c r="C16" s="237" t="s">
        <v>1498</v>
      </c>
      <c r="D16" s="237" t="s">
        <v>1471</v>
      </c>
      <c r="E16" s="242" t="s">
        <v>1499</v>
      </c>
      <c r="F16" s="243" t="s">
        <v>673</v>
      </c>
      <c r="G16" s="237" t="s">
        <v>1397</v>
      </c>
      <c r="H16" s="237" t="s">
        <v>638</v>
      </c>
      <c r="I16" s="237" t="s">
        <v>591</v>
      </c>
      <c r="J16" s="238"/>
    </row>
    <row r="17" spans="2:10" x14ac:dyDescent="0.3">
      <c r="B17" s="241" t="s">
        <v>1474</v>
      </c>
      <c r="C17" s="237" t="s">
        <v>1500</v>
      </c>
      <c r="D17" s="237" t="s">
        <v>1471</v>
      </c>
      <c r="E17" s="242" t="s">
        <v>1472</v>
      </c>
      <c r="F17" s="243" t="s">
        <v>634</v>
      </c>
      <c r="G17" s="237" t="s">
        <v>995</v>
      </c>
      <c r="H17" s="237" t="s">
        <v>638</v>
      </c>
      <c r="I17" s="237" t="s">
        <v>1477</v>
      </c>
      <c r="J17" s="238"/>
    </row>
    <row r="18" spans="2:10" x14ac:dyDescent="0.3">
      <c r="B18" s="241" t="s">
        <v>1474</v>
      </c>
      <c r="C18" s="237" t="s">
        <v>1501</v>
      </c>
      <c r="D18" s="237" t="s">
        <v>1471</v>
      </c>
      <c r="E18" s="242" t="s">
        <v>1489</v>
      </c>
      <c r="F18" s="243" t="s">
        <v>634</v>
      </c>
      <c r="G18" s="237" t="s">
        <v>1490</v>
      </c>
      <c r="H18" s="237" t="s">
        <v>638</v>
      </c>
      <c r="I18" s="237" t="s">
        <v>568</v>
      </c>
      <c r="J18" s="238"/>
    </row>
    <row r="19" spans="2:10" x14ac:dyDescent="0.3">
      <c r="B19" s="241" t="s">
        <v>1474</v>
      </c>
      <c r="C19" s="237" t="s">
        <v>1502</v>
      </c>
      <c r="D19" s="237" t="s">
        <v>1471</v>
      </c>
      <c r="E19" s="242" t="s">
        <v>1487</v>
      </c>
      <c r="F19" s="243" t="s">
        <v>634</v>
      </c>
      <c r="G19" s="237" t="s">
        <v>1397</v>
      </c>
      <c r="H19" s="237" t="s">
        <v>638</v>
      </c>
      <c r="I19" s="237" t="s">
        <v>1473</v>
      </c>
      <c r="J19" s="238"/>
    </row>
    <row r="20" spans="2:10" ht="24" x14ac:dyDescent="0.3">
      <c r="B20" s="241" t="s">
        <v>1474</v>
      </c>
      <c r="C20" s="237" t="s">
        <v>1503</v>
      </c>
      <c r="D20" s="237" t="s">
        <v>1479</v>
      </c>
      <c r="E20" s="242" t="s">
        <v>1504</v>
      </c>
      <c r="F20" s="243" t="s">
        <v>786</v>
      </c>
      <c r="G20" s="237" t="s">
        <v>747</v>
      </c>
      <c r="H20" s="237" t="s">
        <v>694</v>
      </c>
      <c r="I20" s="237" t="s">
        <v>1505</v>
      </c>
      <c r="J20" s="238"/>
    </row>
    <row r="21" spans="2:10" ht="24" x14ac:dyDescent="0.3">
      <c r="B21" s="241" t="s">
        <v>1474</v>
      </c>
      <c r="C21" s="237" t="s">
        <v>1506</v>
      </c>
      <c r="D21" s="237" t="s">
        <v>1471</v>
      </c>
      <c r="E21" s="242" t="s">
        <v>1507</v>
      </c>
      <c r="F21" s="243" t="s">
        <v>1508</v>
      </c>
      <c r="G21" s="239" t="s">
        <v>1509</v>
      </c>
      <c r="H21" s="239" t="s">
        <v>1510</v>
      </c>
      <c r="I21" s="237" t="s">
        <v>1511</v>
      </c>
      <c r="J21" s="238"/>
    </row>
    <row r="22" spans="2:10" ht="24" x14ac:dyDescent="0.3">
      <c r="B22" s="241" t="s">
        <v>1474</v>
      </c>
      <c r="C22" s="237" t="s">
        <v>1512</v>
      </c>
      <c r="D22" s="237" t="s">
        <v>1471</v>
      </c>
      <c r="E22" s="242" t="s">
        <v>1513</v>
      </c>
      <c r="F22" s="243" t="s">
        <v>786</v>
      </c>
      <c r="G22" s="237" t="s">
        <v>1514</v>
      </c>
      <c r="H22" s="237" t="s">
        <v>1515</v>
      </c>
      <c r="I22" s="237" t="s">
        <v>1511</v>
      </c>
      <c r="J22" s="238"/>
    </row>
    <row r="23" spans="2:10" ht="24" x14ac:dyDescent="0.3">
      <c r="B23" s="241" t="s">
        <v>1474</v>
      </c>
      <c r="C23" s="237" t="s">
        <v>1516</v>
      </c>
      <c r="D23" s="237" t="s">
        <v>1471</v>
      </c>
      <c r="E23" s="242" t="s">
        <v>1517</v>
      </c>
      <c r="F23" s="243" t="s">
        <v>786</v>
      </c>
      <c r="G23" s="237" t="s">
        <v>988</v>
      </c>
      <c r="H23" s="237" t="s">
        <v>1518</v>
      </c>
      <c r="I23" s="237" t="s">
        <v>1505</v>
      </c>
      <c r="J23" s="238"/>
    </row>
    <row r="24" spans="2:10" ht="24" x14ac:dyDescent="0.3">
      <c r="B24" s="241" t="s">
        <v>1474</v>
      </c>
      <c r="C24" s="237" t="s">
        <v>1519</v>
      </c>
      <c r="D24" s="237" t="s">
        <v>1471</v>
      </c>
      <c r="E24" s="242" t="s">
        <v>1520</v>
      </c>
      <c r="F24" s="243" t="s">
        <v>816</v>
      </c>
      <c r="G24" s="237" t="s">
        <v>995</v>
      </c>
      <c r="H24" s="237" t="s">
        <v>821</v>
      </c>
      <c r="I24" s="237" t="s">
        <v>1511</v>
      </c>
      <c r="J24" s="238"/>
    </row>
    <row r="25" spans="2:10" x14ac:dyDescent="0.3">
      <c r="B25" s="241" t="s">
        <v>1474</v>
      </c>
      <c r="C25" s="237" t="s">
        <v>1521</v>
      </c>
      <c r="D25" s="237" t="s">
        <v>1471</v>
      </c>
      <c r="E25" s="242" t="s">
        <v>1522</v>
      </c>
      <c r="F25" s="243" t="s">
        <v>727</v>
      </c>
      <c r="G25" s="237" t="s">
        <v>988</v>
      </c>
      <c r="H25" s="237" t="s">
        <v>731</v>
      </c>
      <c r="I25" s="237" t="s">
        <v>1511</v>
      </c>
      <c r="J25" s="238"/>
    </row>
    <row r="26" spans="2:10" x14ac:dyDescent="0.3">
      <c r="B26" s="241" t="s">
        <v>1474</v>
      </c>
      <c r="C26" s="237" t="s">
        <v>1523</v>
      </c>
      <c r="D26" s="237" t="s">
        <v>1471</v>
      </c>
      <c r="E26" s="242" t="s">
        <v>1524</v>
      </c>
      <c r="F26" s="243" t="s">
        <v>727</v>
      </c>
      <c r="G26" s="237" t="s">
        <v>747</v>
      </c>
      <c r="H26" s="237" t="s">
        <v>731</v>
      </c>
      <c r="I26" s="237" t="s">
        <v>1511</v>
      </c>
      <c r="J26" s="238"/>
    </row>
    <row r="27" spans="2:10" x14ac:dyDescent="0.3">
      <c r="B27" s="241" t="s">
        <v>1474</v>
      </c>
      <c r="C27" s="237" t="s">
        <v>1525</v>
      </c>
      <c r="D27" s="237" t="s">
        <v>1471</v>
      </c>
      <c r="E27" s="242" t="s">
        <v>1526</v>
      </c>
      <c r="F27" s="243" t="s">
        <v>1006</v>
      </c>
      <c r="G27" s="237" t="s">
        <v>1490</v>
      </c>
      <c r="H27" s="237" t="s">
        <v>704</v>
      </c>
      <c r="I27" s="237" t="s">
        <v>1511</v>
      </c>
      <c r="J27" s="238"/>
    </row>
    <row r="28" spans="2:10" x14ac:dyDescent="0.3">
      <c r="B28" s="241" t="s">
        <v>1474</v>
      </c>
      <c r="C28" s="237" t="s">
        <v>1527</v>
      </c>
      <c r="D28" s="237" t="s">
        <v>1471</v>
      </c>
      <c r="E28" s="242" t="s">
        <v>1528</v>
      </c>
      <c r="F28" s="243" t="s">
        <v>1006</v>
      </c>
      <c r="G28" s="237" t="s">
        <v>1009</v>
      </c>
      <c r="H28" s="237" t="s">
        <v>731</v>
      </c>
      <c r="I28" s="237" t="s">
        <v>1511</v>
      </c>
      <c r="J28" s="238"/>
    </row>
    <row r="29" spans="2:10" x14ac:dyDescent="0.3">
      <c r="B29" s="241" t="s">
        <v>1474</v>
      </c>
      <c r="C29" s="237" t="s">
        <v>1529</v>
      </c>
      <c r="D29" s="237" t="s">
        <v>1471</v>
      </c>
      <c r="E29" s="242" t="s">
        <v>1530</v>
      </c>
      <c r="F29" s="243" t="s">
        <v>1531</v>
      </c>
      <c r="G29" s="237" t="s">
        <v>988</v>
      </c>
      <c r="H29" s="237" t="s">
        <v>790</v>
      </c>
      <c r="I29" s="237" t="s">
        <v>1532</v>
      </c>
      <c r="J29" s="238"/>
    </row>
    <row r="30" spans="2:10" ht="24" x14ac:dyDescent="0.3">
      <c r="B30" s="241" t="s">
        <v>1474</v>
      </c>
      <c r="C30" s="237" t="s">
        <v>1533</v>
      </c>
      <c r="D30" s="237" t="s">
        <v>1471</v>
      </c>
      <c r="E30" s="242" t="s">
        <v>1534</v>
      </c>
      <c r="F30" s="243" t="s">
        <v>786</v>
      </c>
      <c r="G30" s="237" t="s">
        <v>988</v>
      </c>
      <c r="H30" s="237" t="s">
        <v>790</v>
      </c>
      <c r="I30" s="237" t="s">
        <v>1511</v>
      </c>
      <c r="J30" s="238"/>
    </row>
    <row r="31" spans="2:10" x14ac:dyDescent="0.3">
      <c r="B31" s="241" t="s">
        <v>1474</v>
      </c>
      <c r="C31" s="237" t="s">
        <v>1535</v>
      </c>
      <c r="D31" s="237" t="s">
        <v>1471</v>
      </c>
      <c r="E31" s="242" t="s">
        <v>1536</v>
      </c>
      <c r="F31" s="243" t="s">
        <v>673</v>
      </c>
      <c r="G31" s="237" t="s">
        <v>1397</v>
      </c>
      <c r="H31" s="237" t="s">
        <v>638</v>
      </c>
      <c r="I31" s="237" t="s">
        <v>1537</v>
      </c>
      <c r="J31" s="238"/>
    </row>
    <row r="32" spans="2:10" x14ac:dyDescent="0.3">
      <c r="B32" s="241" t="s">
        <v>1474</v>
      </c>
      <c r="C32" s="237" t="s">
        <v>1538</v>
      </c>
      <c r="D32" s="237" t="s">
        <v>1471</v>
      </c>
      <c r="E32" s="242" t="s">
        <v>1539</v>
      </c>
      <c r="F32" s="243" t="s">
        <v>673</v>
      </c>
      <c r="G32" s="237" t="s">
        <v>995</v>
      </c>
      <c r="H32" s="237" t="s">
        <v>638</v>
      </c>
      <c r="I32" s="237" t="s">
        <v>591</v>
      </c>
      <c r="J32" s="238"/>
    </row>
    <row r="33" spans="2:10" x14ac:dyDescent="0.3">
      <c r="B33" s="241" t="s">
        <v>1474</v>
      </c>
      <c r="C33" s="237" t="s">
        <v>1540</v>
      </c>
      <c r="D33" s="237" t="s">
        <v>1471</v>
      </c>
      <c r="E33" s="242" t="s">
        <v>1541</v>
      </c>
      <c r="F33" s="243" t="s">
        <v>673</v>
      </c>
      <c r="G33" s="237" t="s">
        <v>747</v>
      </c>
      <c r="H33" s="237" t="s">
        <v>638</v>
      </c>
      <c r="I33" s="237" t="s">
        <v>1537</v>
      </c>
      <c r="J33" s="238"/>
    </row>
    <row r="34" spans="2:10" ht="24" x14ac:dyDescent="0.3">
      <c r="B34" s="241" t="s">
        <v>1474</v>
      </c>
      <c r="C34" s="237" t="s">
        <v>1542</v>
      </c>
      <c r="D34" s="237" t="s">
        <v>1479</v>
      </c>
      <c r="E34" s="242" t="s">
        <v>1543</v>
      </c>
      <c r="F34" s="243" t="s">
        <v>786</v>
      </c>
      <c r="G34" s="237" t="s">
        <v>747</v>
      </c>
      <c r="H34" s="237" t="s">
        <v>738</v>
      </c>
      <c r="I34" s="237" t="s">
        <v>1505</v>
      </c>
      <c r="J34" s="238"/>
    </row>
    <row r="35" spans="2:10" ht="24" x14ac:dyDescent="0.3">
      <c r="B35" s="241" t="s">
        <v>1474</v>
      </c>
      <c r="C35" s="237" t="s">
        <v>1544</v>
      </c>
      <c r="D35" s="237" t="s">
        <v>1479</v>
      </c>
      <c r="E35" s="242" t="s">
        <v>1545</v>
      </c>
      <c r="F35" s="243" t="s">
        <v>1546</v>
      </c>
      <c r="G35" s="237" t="s">
        <v>1009</v>
      </c>
      <c r="H35" s="237" t="s">
        <v>863</v>
      </c>
      <c r="I35" s="237" t="s">
        <v>1505</v>
      </c>
      <c r="J35" s="238"/>
    </row>
    <row r="36" spans="2:10" ht="24" x14ac:dyDescent="0.3">
      <c r="B36" s="241" t="s">
        <v>1474</v>
      </c>
      <c r="C36" s="237" t="s">
        <v>1547</v>
      </c>
      <c r="D36" s="237" t="s">
        <v>1479</v>
      </c>
      <c r="E36" s="242" t="s">
        <v>1548</v>
      </c>
      <c r="F36" s="243" t="s">
        <v>1546</v>
      </c>
      <c r="G36" s="237" t="s">
        <v>979</v>
      </c>
      <c r="H36" s="237" t="s">
        <v>863</v>
      </c>
      <c r="I36" s="237" t="s">
        <v>629</v>
      </c>
      <c r="J36" s="238"/>
    </row>
    <row r="37" spans="2:10" ht="24" x14ac:dyDescent="0.3">
      <c r="B37" s="241" t="s">
        <v>1474</v>
      </c>
      <c r="C37" s="237" t="s">
        <v>1549</v>
      </c>
      <c r="D37" s="237" t="s">
        <v>1479</v>
      </c>
      <c r="E37" s="242" t="s">
        <v>1550</v>
      </c>
      <c r="F37" s="243" t="s">
        <v>786</v>
      </c>
      <c r="G37" s="237" t="s">
        <v>979</v>
      </c>
      <c r="H37" s="237" t="s">
        <v>694</v>
      </c>
      <c r="I37" s="237" t="s">
        <v>1511</v>
      </c>
      <c r="J37" s="238"/>
    </row>
    <row r="38" spans="2:10" ht="24" x14ac:dyDescent="0.3">
      <c r="B38" s="241" t="s">
        <v>1474</v>
      </c>
      <c r="C38" s="237" t="s">
        <v>1551</v>
      </c>
      <c r="D38" s="237" t="s">
        <v>1471</v>
      </c>
      <c r="E38" s="242" t="s">
        <v>1552</v>
      </c>
      <c r="F38" s="243" t="s">
        <v>786</v>
      </c>
      <c r="G38" s="237" t="s">
        <v>988</v>
      </c>
      <c r="H38" s="237" t="s">
        <v>790</v>
      </c>
      <c r="I38" s="237" t="s">
        <v>1532</v>
      </c>
      <c r="J38" s="238"/>
    </row>
    <row r="39" spans="2:10" ht="24" x14ac:dyDescent="0.3">
      <c r="B39" s="241" t="s">
        <v>1474</v>
      </c>
      <c r="C39" s="237" t="s">
        <v>1553</v>
      </c>
      <c r="D39" s="237" t="s">
        <v>1471</v>
      </c>
      <c r="E39" s="242" t="s">
        <v>1554</v>
      </c>
      <c r="F39" s="243" t="s">
        <v>786</v>
      </c>
      <c r="G39" s="237" t="s">
        <v>1031</v>
      </c>
      <c r="H39" s="237" t="s">
        <v>1555</v>
      </c>
      <c r="I39" s="237" t="s">
        <v>1511</v>
      </c>
      <c r="J39" s="238"/>
    </row>
    <row r="40" spans="2:10" x14ac:dyDescent="0.3">
      <c r="B40" s="241" t="s">
        <v>1474</v>
      </c>
      <c r="C40" s="237" t="s">
        <v>1556</v>
      </c>
      <c r="D40" s="237" t="s">
        <v>1471</v>
      </c>
      <c r="E40" s="242" t="s">
        <v>1557</v>
      </c>
      <c r="F40" s="243" t="s">
        <v>992</v>
      </c>
      <c r="G40" s="237" t="s">
        <v>995</v>
      </c>
      <c r="H40" s="237" t="s">
        <v>790</v>
      </c>
      <c r="I40" s="237" t="s">
        <v>1558</v>
      </c>
      <c r="J40" s="238"/>
    </row>
    <row r="41" spans="2:10" x14ac:dyDescent="0.3">
      <c r="B41" s="241" t="s">
        <v>1474</v>
      </c>
      <c r="C41" s="237" t="s">
        <v>1559</v>
      </c>
      <c r="D41" s="237" t="s">
        <v>1471</v>
      </c>
      <c r="E41" s="242" t="s">
        <v>1560</v>
      </c>
      <c r="F41" s="243" t="s">
        <v>992</v>
      </c>
      <c r="G41" s="237" t="s">
        <v>1009</v>
      </c>
      <c r="H41" s="237" t="s">
        <v>821</v>
      </c>
      <c r="I41" s="237" t="s">
        <v>1561</v>
      </c>
      <c r="J41" s="238"/>
    </row>
    <row r="42" spans="2:10" ht="24" x14ac:dyDescent="0.3">
      <c r="B42" s="241" t="s">
        <v>1474</v>
      </c>
      <c r="C42" s="237" t="s">
        <v>1562</v>
      </c>
      <c r="D42" s="237" t="s">
        <v>1471</v>
      </c>
      <c r="E42" s="242" t="s">
        <v>1563</v>
      </c>
      <c r="F42" s="243" t="s">
        <v>1564</v>
      </c>
      <c r="G42" s="237" t="s">
        <v>988</v>
      </c>
      <c r="H42" s="237" t="s">
        <v>1518</v>
      </c>
      <c r="I42" s="237" t="s">
        <v>1532</v>
      </c>
      <c r="J42" s="238"/>
    </row>
    <row r="43" spans="2:10" x14ac:dyDescent="0.3">
      <c r="B43" s="241" t="s">
        <v>1474</v>
      </c>
      <c r="C43" s="237" t="s">
        <v>1565</v>
      </c>
      <c r="D43" s="237" t="s">
        <v>1471</v>
      </c>
      <c r="E43" s="242" t="s">
        <v>1566</v>
      </c>
      <c r="F43" s="243" t="s">
        <v>992</v>
      </c>
      <c r="G43" s="237" t="s">
        <v>988</v>
      </c>
      <c r="H43" s="237" t="s">
        <v>1567</v>
      </c>
      <c r="I43" s="237" t="s">
        <v>1558</v>
      </c>
      <c r="J43" s="238"/>
    </row>
    <row r="44" spans="2:10" ht="24" x14ac:dyDescent="0.3">
      <c r="B44" s="241" t="s">
        <v>1474</v>
      </c>
      <c r="C44" s="237" t="s">
        <v>1568</v>
      </c>
      <c r="D44" s="237" t="s">
        <v>1471</v>
      </c>
      <c r="E44" s="242" t="s">
        <v>1569</v>
      </c>
      <c r="F44" s="243" t="s">
        <v>786</v>
      </c>
      <c r="G44" s="237" t="s">
        <v>988</v>
      </c>
      <c r="H44" s="237" t="s">
        <v>821</v>
      </c>
      <c r="I44" s="237" t="s">
        <v>1511</v>
      </c>
      <c r="J44" s="238"/>
    </row>
    <row r="45" spans="2:10" ht="24" x14ac:dyDescent="0.3">
      <c r="B45" s="241" t="s">
        <v>1474</v>
      </c>
      <c r="C45" s="237" t="s">
        <v>1570</v>
      </c>
      <c r="D45" s="237" t="s">
        <v>1471</v>
      </c>
      <c r="E45" s="242" t="s">
        <v>1571</v>
      </c>
      <c r="F45" s="243" t="s">
        <v>816</v>
      </c>
      <c r="G45" s="237" t="s">
        <v>970</v>
      </c>
      <c r="H45" s="237" t="s">
        <v>790</v>
      </c>
      <c r="I45" s="237" t="s">
        <v>1532</v>
      </c>
      <c r="J45" s="238"/>
    </row>
    <row r="46" spans="2:10" ht="24" x14ac:dyDescent="0.3">
      <c r="B46" s="241" t="s">
        <v>1474</v>
      </c>
      <c r="C46" s="237" t="s">
        <v>1572</v>
      </c>
      <c r="D46" s="237" t="s">
        <v>1471</v>
      </c>
      <c r="E46" s="242" t="s">
        <v>1573</v>
      </c>
      <c r="F46" s="243" t="s">
        <v>1082</v>
      </c>
      <c r="G46" s="237" t="s">
        <v>1009</v>
      </c>
      <c r="H46" s="237" t="s">
        <v>1574</v>
      </c>
      <c r="I46" s="237" t="s">
        <v>1575</v>
      </c>
      <c r="J46" s="238"/>
    </row>
    <row r="47" spans="2:10" ht="24" x14ac:dyDescent="0.3">
      <c r="B47" s="241" t="s">
        <v>1474</v>
      </c>
      <c r="C47" s="237" t="s">
        <v>1576</v>
      </c>
      <c r="D47" s="237" t="s">
        <v>1471</v>
      </c>
      <c r="E47" s="242" t="s">
        <v>1577</v>
      </c>
      <c r="F47" s="243" t="s">
        <v>1564</v>
      </c>
      <c r="G47" s="239" t="s">
        <v>1509</v>
      </c>
      <c r="H47" s="239" t="s">
        <v>1578</v>
      </c>
      <c r="I47" s="237" t="s">
        <v>1561</v>
      </c>
      <c r="J47" s="238"/>
    </row>
    <row r="48" spans="2:10" x14ac:dyDescent="0.3">
      <c r="B48" s="241" t="s">
        <v>1474</v>
      </c>
      <c r="C48" s="237" t="s">
        <v>1579</v>
      </c>
      <c r="D48" s="237" t="s">
        <v>1471</v>
      </c>
      <c r="E48" s="242" t="s">
        <v>1580</v>
      </c>
      <c r="F48" s="243" t="s">
        <v>1581</v>
      </c>
      <c r="G48" s="237" t="s">
        <v>970</v>
      </c>
      <c r="H48" s="237" t="s">
        <v>790</v>
      </c>
      <c r="I48" s="237" t="s">
        <v>1511</v>
      </c>
      <c r="J48" s="238"/>
    </row>
    <row r="49" spans="2:10" x14ac:dyDescent="0.3">
      <c r="B49" s="241" t="s">
        <v>1474</v>
      </c>
      <c r="C49" s="237" t="s">
        <v>1582</v>
      </c>
      <c r="D49" s="237" t="s">
        <v>1471</v>
      </c>
      <c r="E49" s="242" t="s">
        <v>1583</v>
      </c>
      <c r="F49" s="243" t="s">
        <v>1584</v>
      </c>
      <c r="G49" s="237" t="s">
        <v>988</v>
      </c>
      <c r="H49" s="237" t="s">
        <v>790</v>
      </c>
      <c r="I49" s="237" t="s">
        <v>1561</v>
      </c>
      <c r="J49" s="238"/>
    </row>
    <row r="50" spans="2:10" ht="24" x14ac:dyDescent="0.3">
      <c r="B50" s="241" t="s">
        <v>1474</v>
      </c>
      <c r="C50" s="237" t="s">
        <v>1585</v>
      </c>
      <c r="D50" s="237" t="s">
        <v>1471</v>
      </c>
      <c r="E50" s="242" t="s">
        <v>1586</v>
      </c>
      <c r="F50" s="243" t="s">
        <v>1587</v>
      </c>
      <c r="G50" s="237" t="s">
        <v>988</v>
      </c>
      <c r="H50" s="237" t="s">
        <v>1588</v>
      </c>
      <c r="I50" s="237" t="s">
        <v>1561</v>
      </c>
      <c r="J50" s="238"/>
    </row>
    <row r="51" spans="2:10" ht="24" x14ac:dyDescent="0.3">
      <c r="B51" s="241" t="s">
        <v>1474</v>
      </c>
      <c r="C51" s="237" t="s">
        <v>1589</v>
      </c>
      <c r="D51" s="237" t="s">
        <v>1471</v>
      </c>
      <c r="E51" s="242" t="s">
        <v>1590</v>
      </c>
      <c r="F51" s="243" t="s">
        <v>1132</v>
      </c>
      <c r="G51" s="237" t="s">
        <v>979</v>
      </c>
      <c r="H51" s="237" t="s">
        <v>1591</v>
      </c>
      <c r="I51" s="237" t="s">
        <v>1558</v>
      </c>
      <c r="J51" s="238"/>
    </row>
    <row r="52" spans="2:10" ht="24" x14ac:dyDescent="0.3">
      <c r="B52" s="241" t="s">
        <v>1474</v>
      </c>
      <c r="C52" s="237" t="s">
        <v>1592</v>
      </c>
      <c r="D52" s="237" t="s">
        <v>1471</v>
      </c>
      <c r="E52" s="242" t="s">
        <v>1593</v>
      </c>
      <c r="F52" s="243" t="s">
        <v>1594</v>
      </c>
      <c r="G52" s="237" t="s">
        <v>1059</v>
      </c>
      <c r="H52" s="237" t="s">
        <v>1595</v>
      </c>
      <c r="I52" s="237" t="s">
        <v>1561</v>
      </c>
      <c r="J52" s="238"/>
    </row>
    <row r="53" spans="2:10" ht="24" x14ac:dyDescent="0.3">
      <c r="B53" s="241" t="s">
        <v>1474</v>
      </c>
      <c r="C53" s="237" t="s">
        <v>1596</v>
      </c>
      <c r="D53" s="237" t="s">
        <v>1471</v>
      </c>
      <c r="E53" s="242" t="s">
        <v>1597</v>
      </c>
      <c r="F53" s="243" t="s">
        <v>1594</v>
      </c>
      <c r="G53" s="237" t="s">
        <v>1009</v>
      </c>
      <c r="H53" s="237" t="s">
        <v>1574</v>
      </c>
      <c r="I53" s="237" t="s">
        <v>1561</v>
      </c>
      <c r="J53" s="238"/>
    </row>
    <row r="54" spans="2:10" ht="24" x14ac:dyDescent="0.3">
      <c r="B54" s="241" t="s">
        <v>1474</v>
      </c>
      <c r="C54" s="237" t="s">
        <v>1598</v>
      </c>
      <c r="D54" s="237" t="s">
        <v>1471</v>
      </c>
      <c r="E54" s="242" t="s">
        <v>1597</v>
      </c>
      <c r="F54" s="243" t="s">
        <v>1594</v>
      </c>
      <c r="G54" s="237" t="s">
        <v>1009</v>
      </c>
      <c r="H54" s="237" t="s">
        <v>1574</v>
      </c>
      <c r="I54" s="237" t="s">
        <v>1575</v>
      </c>
      <c r="J54" s="238"/>
    </row>
    <row r="55" spans="2:10" x14ac:dyDescent="0.3">
      <c r="B55" s="241" t="s">
        <v>1474</v>
      </c>
      <c r="C55" s="237" t="s">
        <v>1599</v>
      </c>
      <c r="D55" s="237" t="s">
        <v>1471</v>
      </c>
      <c r="E55" s="242" t="s">
        <v>1600</v>
      </c>
      <c r="F55" s="243" t="s">
        <v>1601</v>
      </c>
      <c r="G55" s="237" t="s">
        <v>1059</v>
      </c>
      <c r="H55" s="237" t="s">
        <v>738</v>
      </c>
      <c r="I55" s="237" t="s">
        <v>1561</v>
      </c>
      <c r="J55" s="238"/>
    </row>
    <row r="56" spans="2:10" ht="24" x14ac:dyDescent="0.3">
      <c r="B56" s="241" t="s">
        <v>1474</v>
      </c>
      <c r="C56" s="237" t="s">
        <v>1602</v>
      </c>
      <c r="D56" s="237" t="s">
        <v>1471</v>
      </c>
      <c r="E56" s="242" t="s">
        <v>1603</v>
      </c>
      <c r="F56" s="243" t="s">
        <v>1604</v>
      </c>
      <c r="G56" s="237" t="s">
        <v>1059</v>
      </c>
      <c r="H56" s="237" t="s">
        <v>1605</v>
      </c>
      <c r="I56" s="237" t="s">
        <v>1561</v>
      </c>
      <c r="J56" s="238"/>
    </row>
    <row r="57" spans="2:10" ht="24" x14ac:dyDescent="0.3">
      <c r="B57" s="241" t="s">
        <v>1474</v>
      </c>
      <c r="C57" s="237" t="s">
        <v>1606</v>
      </c>
      <c r="D57" s="237" t="s">
        <v>1471</v>
      </c>
      <c r="E57" s="242" t="s">
        <v>1607</v>
      </c>
      <c r="F57" s="243" t="s">
        <v>1132</v>
      </c>
      <c r="G57" s="239" t="s">
        <v>1608</v>
      </c>
      <c r="H57" s="239" t="s">
        <v>1609</v>
      </c>
      <c r="I57" s="237" t="s">
        <v>1575</v>
      </c>
      <c r="J57" s="238"/>
    </row>
    <row r="58" spans="2:10" ht="24" x14ac:dyDescent="0.3">
      <c r="B58" s="241" t="s">
        <v>1474</v>
      </c>
      <c r="C58" s="237" t="s">
        <v>1610</v>
      </c>
      <c r="D58" s="237" t="s">
        <v>1471</v>
      </c>
      <c r="E58" s="242" t="s">
        <v>1611</v>
      </c>
      <c r="F58" s="243" t="s">
        <v>1594</v>
      </c>
      <c r="G58" s="239" t="s">
        <v>1509</v>
      </c>
      <c r="H58" s="239" t="s">
        <v>1612</v>
      </c>
      <c r="I58" s="237" t="s">
        <v>1558</v>
      </c>
      <c r="J58" s="238"/>
    </row>
    <row r="59" spans="2:10" ht="24" x14ac:dyDescent="0.3">
      <c r="B59" s="241" t="s">
        <v>1474</v>
      </c>
      <c r="C59" s="237" t="s">
        <v>1613</v>
      </c>
      <c r="D59" s="237" t="s">
        <v>1471</v>
      </c>
      <c r="E59" s="242" t="s">
        <v>1614</v>
      </c>
      <c r="F59" s="243" t="s">
        <v>1615</v>
      </c>
      <c r="G59" s="237" t="s">
        <v>1009</v>
      </c>
      <c r="H59" s="237" t="s">
        <v>694</v>
      </c>
      <c r="I59" s="237" t="s">
        <v>1558</v>
      </c>
      <c r="J59" s="238"/>
    </row>
    <row r="60" spans="2:10" ht="24" x14ac:dyDescent="0.3">
      <c r="B60" s="241" t="s">
        <v>1474</v>
      </c>
      <c r="C60" s="237" t="s">
        <v>1616</v>
      </c>
      <c r="D60" s="237" t="s">
        <v>1617</v>
      </c>
      <c r="E60" s="242" t="s">
        <v>1618</v>
      </c>
      <c r="F60" s="243" t="s">
        <v>1619</v>
      </c>
      <c r="G60" s="237" t="s">
        <v>1620</v>
      </c>
      <c r="H60" s="237" t="s">
        <v>790</v>
      </c>
      <c r="I60" s="237" t="s">
        <v>1561</v>
      </c>
      <c r="J60" s="238"/>
    </row>
    <row r="61" spans="2:10" ht="24" x14ac:dyDescent="0.3">
      <c r="B61" s="241" t="s">
        <v>1474</v>
      </c>
      <c r="C61" s="237" t="s">
        <v>1621</v>
      </c>
      <c r="D61" s="237" t="s">
        <v>1617</v>
      </c>
      <c r="E61" s="242" t="s">
        <v>1622</v>
      </c>
      <c r="F61" s="243" t="s">
        <v>1619</v>
      </c>
      <c r="G61" s="237" t="s">
        <v>1620</v>
      </c>
      <c r="H61" s="237" t="s">
        <v>790</v>
      </c>
      <c r="I61" s="237" t="s">
        <v>1532</v>
      </c>
      <c r="J61" s="238"/>
    </row>
    <row r="62" spans="2:10" ht="24" x14ac:dyDescent="0.3">
      <c r="B62" s="241" t="s">
        <v>1474</v>
      </c>
      <c r="C62" s="237" t="s">
        <v>1623</v>
      </c>
      <c r="D62" s="237" t="s">
        <v>1617</v>
      </c>
      <c r="E62" s="242" t="s">
        <v>1624</v>
      </c>
      <c r="F62" s="244" t="s">
        <v>1625</v>
      </c>
      <c r="G62" s="237" t="s">
        <v>1620</v>
      </c>
      <c r="H62" s="237" t="s">
        <v>1626</v>
      </c>
      <c r="I62" s="237" t="s">
        <v>1532</v>
      </c>
      <c r="J62" s="238"/>
    </row>
    <row r="63" spans="2:10" ht="24" x14ac:dyDescent="0.3">
      <c r="B63" s="241" t="s">
        <v>1474</v>
      </c>
      <c r="C63" s="237" t="s">
        <v>1627</v>
      </c>
      <c r="D63" s="237" t="s">
        <v>1471</v>
      </c>
      <c r="E63" s="242" t="s">
        <v>2596</v>
      </c>
      <c r="F63" s="243" t="s">
        <v>1615</v>
      </c>
      <c r="G63" s="239" t="s">
        <v>1629</v>
      </c>
      <c r="H63" s="239" t="s">
        <v>1630</v>
      </c>
      <c r="I63" s="237" t="s">
        <v>1558</v>
      </c>
      <c r="J63" s="238"/>
    </row>
    <row r="64" spans="2:10" ht="24" x14ac:dyDescent="0.3">
      <c r="B64" s="241" t="s">
        <v>1474</v>
      </c>
      <c r="C64" s="237" t="s">
        <v>1631</v>
      </c>
      <c r="D64" s="237" t="s">
        <v>1471</v>
      </c>
      <c r="E64" s="242" t="s">
        <v>2597</v>
      </c>
      <c r="F64" s="243" t="s">
        <v>1615</v>
      </c>
      <c r="G64" s="239" t="s">
        <v>1608</v>
      </c>
      <c r="H64" s="239" t="s">
        <v>1633</v>
      </c>
      <c r="I64" s="237" t="s">
        <v>1575</v>
      </c>
      <c r="J64" s="238"/>
    </row>
    <row r="65" spans="2:10" ht="24" x14ac:dyDescent="0.3">
      <c r="B65" s="241" t="s">
        <v>1474</v>
      </c>
      <c r="C65" s="237" t="s">
        <v>1634</v>
      </c>
      <c r="D65" s="237" t="s">
        <v>1471</v>
      </c>
      <c r="E65" s="242" t="s">
        <v>1635</v>
      </c>
      <c r="F65" s="243" t="s">
        <v>1636</v>
      </c>
      <c r="G65" s="237" t="s">
        <v>988</v>
      </c>
      <c r="H65" s="237" t="s">
        <v>694</v>
      </c>
      <c r="I65" s="237" t="s">
        <v>1575</v>
      </c>
      <c r="J65" s="238"/>
    </row>
    <row r="66" spans="2:10" ht="24" x14ac:dyDescent="0.3">
      <c r="B66" s="241" t="s">
        <v>1474</v>
      </c>
      <c r="C66" s="237" t="s">
        <v>1637</v>
      </c>
      <c r="D66" s="237" t="s">
        <v>1471</v>
      </c>
      <c r="E66" s="242" t="s">
        <v>1638</v>
      </c>
      <c r="F66" s="243" t="s">
        <v>1639</v>
      </c>
      <c r="G66" s="237" t="s">
        <v>1059</v>
      </c>
      <c r="H66" s="237" t="s">
        <v>738</v>
      </c>
      <c r="I66" s="237" t="s">
        <v>1558</v>
      </c>
      <c r="J66" s="238"/>
    </row>
    <row r="67" spans="2:10" ht="24" x14ac:dyDescent="0.3">
      <c r="B67" s="241" t="s">
        <v>1474</v>
      </c>
      <c r="C67" s="237" t="s">
        <v>1640</v>
      </c>
      <c r="D67" s="237" t="s">
        <v>1471</v>
      </c>
      <c r="E67" s="242" t="s">
        <v>1641</v>
      </c>
      <c r="F67" s="243" t="s">
        <v>1636</v>
      </c>
      <c r="G67" s="237" t="s">
        <v>988</v>
      </c>
      <c r="H67" s="237" t="s">
        <v>694</v>
      </c>
      <c r="I67" s="237" t="s">
        <v>1575</v>
      </c>
      <c r="J67" s="238"/>
    </row>
    <row r="68" spans="2:10" ht="24" x14ac:dyDescent="0.3">
      <c r="B68" s="241" t="s">
        <v>1474</v>
      </c>
      <c r="C68" s="237" t="s">
        <v>1642</v>
      </c>
      <c r="D68" s="237" t="s">
        <v>1471</v>
      </c>
      <c r="E68" s="242" t="s">
        <v>2595</v>
      </c>
      <c r="F68" s="243" t="s">
        <v>1636</v>
      </c>
      <c r="G68" s="239" t="s">
        <v>1644</v>
      </c>
      <c r="H68" s="239" t="s">
        <v>1645</v>
      </c>
      <c r="I68" s="237" t="s">
        <v>1575</v>
      </c>
      <c r="J68" s="238"/>
    </row>
    <row r="69" spans="2:10" ht="24" x14ac:dyDescent="0.3">
      <c r="B69" s="241" t="s">
        <v>1474</v>
      </c>
      <c r="C69" s="237" t="s">
        <v>1646</v>
      </c>
      <c r="D69" s="237" t="s">
        <v>1471</v>
      </c>
      <c r="E69" s="242" t="s">
        <v>2598</v>
      </c>
      <c r="F69" s="243" t="s">
        <v>1648</v>
      </c>
      <c r="G69" s="239" t="s">
        <v>1649</v>
      </c>
      <c r="H69" s="239" t="s">
        <v>1650</v>
      </c>
      <c r="I69" s="237" t="s">
        <v>1575</v>
      </c>
      <c r="J69" s="238"/>
    </row>
    <row r="70" spans="2:10" ht="24" x14ac:dyDescent="0.3">
      <c r="B70" s="241" t="s">
        <v>1474</v>
      </c>
      <c r="C70" s="237" t="s">
        <v>1651</v>
      </c>
      <c r="D70" s="237" t="s">
        <v>1471</v>
      </c>
      <c r="E70" s="242" t="s">
        <v>1652</v>
      </c>
      <c r="F70" s="243" t="s">
        <v>1508</v>
      </c>
      <c r="G70" s="237" t="s">
        <v>1653</v>
      </c>
      <c r="H70" s="237" t="s">
        <v>514</v>
      </c>
      <c r="I70" s="237" t="s">
        <v>1537</v>
      </c>
      <c r="J70" s="238"/>
    </row>
    <row r="71" spans="2:10" ht="24" x14ac:dyDescent="0.3">
      <c r="B71" s="241" t="s">
        <v>1474</v>
      </c>
      <c r="C71" s="237" t="s">
        <v>1654</v>
      </c>
      <c r="D71" s="237" t="s">
        <v>1471</v>
      </c>
      <c r="E71" s="242" t="s">
        <v>1655</v>
      </c>
      <c r="F71" s="243" t="s">
        <v>1508</v>
      </c>
      <c r="G71" s="237" t="s">
        <v>1044</v>
      </c>
      <c r="H71" s="237" t="s">
        <v>1656</v>
      </c>
      <c r="I71" s="237" t="s">
        <v>1532</v>
      </c>
      <c r="J71" s="238"/>
    </row>
    <row r="72" spans="2:10" ht="24" x14ac:dyDescent="0.3">
      <c r="B72" s="241" t="s">
        <v>1474</v>
      </c>
      <c r="C72" s="237" t="s">
        <v>1657</v>
      </c>
      <c r="D72" s="237" t="s">
        <v>1471</v>
      </c>
      <c r="E72" s="242" t="s">
        <v>1658</v>
      </c>
      <c r="F72" s="243" t="s">
        <v>1082</v>
      </c>
      <c r="G72" s="237" t="s">
        <v>1653</v>
      </c>
      <c r="H72" s="237" t="s">
        <v>514</v>
      </c>
      <c r="I72" s="237" t="s">
        <v>1558</v>
      </c>
      <c r="J72" s="238"/>
    </row>
    <row r="73" spans="2:10" ht="24" x14ac:dyDescent="0.3">
      <c r="B73" s="241" t="s">
        <v>1474</v>
      </c>
      <c r="C73" s="237" t="s">
        <v>1659</v>
      </c>
      <c r="D73" s="237" t="s">
        <v>1471</v>
      </c>
      <c r="E73" s="242" t="s">
        <v>1660</v>
      </c>
      <c r="F73" s="243" t="s">
        <v>1082</v>
      </c>
      <c r="G73" s="237" t="s">
        <v>1044</v>
      </c>
      <c r="H73" s="237" t="s">
        <v>1656</v>
      </c>
      <c r="I73" s="237" t="s">
        <v>1558</v>
      </c>
      <c r="J73" s="238"/>
    </row>
    <row r="74" spans="2:10" x14ac:dyDescent="0.3">
      <c r="B74" s="241" t="s">
        <v>1474</v>
      </c>
      <c r="C74" s="237" t="s">
        <v>1661</v>
      </c>
      <c r="D74" s="237" t="s">
        <v>1471</v>
      </c>
      <c r="E74" s="242" t="s">
        <v>1662</v>
      </c>
      <c r="F74" s="243" t="s">
        <v>1663</v>
      </c>
      <c r="G74" s="237" t="s">
        <v>1664</v>
      </c>
      <c r="H74" s="237" t="s">
        <v>514</v>
      </c>
      <c r="I74" s="237" t="s">
        <v>1532</v>
      </c>
      <c r="J74" s="238"/>
    </row>
    <row r="75" spans="2:10" ht="24" x14ac:dyDescent="0.3">
      <c r="B75" s="241" t="s">
        <v>1474</v>
      </c>
      <c r="C75" s="237" t="s">
        <v>1665</v>
      </c>
      <c r="D75" s="237" t="s">
        <v>1471</v>
      </c>
      <c r="E75" s="242" t="s">
        <v>1666</v>
      </c>
      <c r="F75" s="243" t="s">
        <v>1594</v>
      </c>
      <c r="G75" s="237" t="s">
        <v>1653</v>
      </c>
      <c r="H75" s="237" t="s">
        <v>514</v>
      </c>
      <c r="I75" s="237" t="s">
        <v>1575</v>
      </c>
      <c r="J75" s="238"/>
    </row>
    <row r="76" spans="2:10" ht="24" x14ac:dyDescent="0.3">
      <c r="B76" s="241" t="s">
        <v>1474</v>
      </c>
      <c r="C76" s="237" t="s">
        <v>1667</v>
      </c>
      <c r="D76" s="237" t="s">
        <v>1471</v>
      </c>
      <c r="E76" s="242" t="s">
        <v>1668</v>
      </c>
      <c r="F76" s="243" t="s">
        <v>1594</v>
      </c>
      <c r="G76" s="237" t="s">
        <v>1044</v>
      </c>
      <c r="H76" s="237" t="s">
        <v>1045</v>
      </c>
      <c r="I76" s="237" t="s">
        <v>1575</v>
      </c>
      <c r="J76" s="238"/>
    </row>
    <row r="77" spans="2:10" ht="24" x14ac:dyDescent="0.3">
      <c r="B77" s="241" t="s">
        <v>1474</v>
      </c>
      <c r="C77" s="237" t="s">
        <v>1669</v>
      </c>
      <c r="D77" s="237" t="s">
        <v>1471</v>
      </c>
      <c r="E77" s="242" t="s">
        <v>1670</v>
      </c>
      <c r="F77" s="243" t="s">
        <v>1671</v>
      </c>
      <c r="G77" s="237" t="s">
        <v>1653</v>
      </c>
      <c r="H77" s="237" t="s">
        <v>722</v>
      </c>
      <c r="I77" s="237" t="s">
        <v>1561</v>
      </c>
      <c r="J77" s="238"/>
    </row>
    <row r="78" spans="2:10" x14ac:dyDescent="0.3">
      <c r="B78" s="241" t="s">
        <v>1474</v>
      </c>
      <c r="C78" s="237" t="s">
        <v>1672</v>
      </c>
      <c r="D78" s="237" t="s">
        <v>1471</v>
      </c>
      <c r="E78" s="242" t="s">
        <v>1673</v>
      </c>
      <c r="F78" s="243" t="s">
        <v>1674</v>
      </c>
      <c r="G78" s="237" t="s">
        <v>1482</v>
      </c>
      <c r="H78" s="237" t="s">
        <v>482</v>
      </c>
      <c r="I78" s="237" t="s">
        <v>506</v>
      </c>
      <c r="J78" s="238"/>
    </row>
    <row r="79" spans="2:10" x14ac:dyDescent="0.3">
      <c r="B79" s="241" t="s">
        <v>1474</v>
      </c>
      <c r="C79" s="237" t="s">
        <v>1675</v>
      </c>
      <c r="D79" s="237" t="s">
        <v>1471</v>
      </c>
      <c r="E79" s="242" t="s">
        <v>1676</v>
      </c>
      <c r="F79" s="243" t="s">
        <v>645</v>
      </c>
      <c r="G79" s="237" t="s">
        <v>481</v>
      </c>
      <c r="H79" s="237" t="s">
        <v>482</v>
      </c>
      <c r="I79" s="237" t="s">
        <v>1677</v>
      </c>
      <c r="J79" s="238"/>
    </row>
    <row r="80" spans="2:10" x14ac:dyDescent="0.3">
      <c r="B80" s="241" t="s">
        <v>1474</v>
      </c>
      <c r="C80" s="237" t="s">
        <v>1678</v>
      </c>
      <c r="D80" s="237" t="s">
        <v>1471</v>
      </c>
      <c r="E80" s="242" t="s">
        <v>1679</v>
      </c>
      <c r="F80" s="243" t="s">
        <v>1680</v>
      </c>
      <c r="G80" s="237" t="s">
        <v>1681</v>
      </c>
      <c r="H80" s="237" t="s">
        <v>494</v>
      </c>
      <c r="I80" s="237" t="s">
        <v>1682</v>
      </c>
      <c r="J80" s="238"/>
    </row>
    <row r="81" spans="2:10" ht="24" x14ac:dyDescent="0.3">
      <c r="B81" s="241" t="s">
        <v>1474</v>
      </c>
      <c r="C81" s="237" t="s">
        <v>1683</v>
      </c>
      <c r="D81" s="237" t="s">
        <v>1471</v>
      </c>
      <c r="E81" s="242" t="s">
        <v>1684</v>
      </c>
      <c r="F81" s="243" t="s">
        <v>1685</v>
      </c>
      <c r="G81" s="237" t="s">
        <v>1686</v>
      </c>
      <c r="H81" s="237" t="s">
        <v>1687</v>
      </c>
      <c r="I81" s="237" t="s">
        <v>1677</v>
      </c>
      <c r="J81" s="238"/>
    </row>
    <row r="82" spans="2:10" ht="24" x14ac:dyDescent="0.3">
      <c r="B82" s="241" t="s">
        <v>1474</v>
      </c>
      <c r="C82" s="237" t="s">
        <v>1688</v>
      </c>
      <c r="D82" s="237" t="s">
        <v>1471</v>
      </c>
      <c r="E82" s="242" t="s">
        <v>1689</v>
      </c>
      <c r="F82" s="243" t="s">
        <v>1690</v>
      </c>
      <c r="G82" s="237" t="s">
        <v>493</v>
      </c>
      <c r="H82" s="237" t="s">
        <v>494</v>
      </c>
      <c r="I82" s="237" t="s">
        <v>1682</v>
      </c>
      <c r="J82" s="238"/>
    </row>
    <row r="83" spans="2:10" ht="24" x14ac:dyDescent="0.3">
      <c r="B83" s="241" t="s">
        <v>1474</v>
      </c>
      <c r="C83" s="237" t="s">
        <v>1691</v>
      </c>
      <c r="D83" s="237" t="s">
        <v>1479</v>
      </c>
      <c r="E83" s="242" t="s">
        <v>1692</v>
      </c>
      <c r="F83" s="243" t="s">
        <v>1693</v>
      </c>
      <c r="G83" s="237" t="s">
        <v>1694</v>
      </c>
      <c r="H83" s="237" t="s">
        <v>1695</v>
      </c>
      <c r="I83" s="237" t="s">
        <v>1696</v>
      </c>
      <c r="J83" s="238"/>
    </row>
    <row r="84" spans="2:10" ht="24" x14ac:dyDescent="0.3">
      <c r="B84" s="241" t="s">
        <v>1474</v>
      </c>
      <c r="C84" s="237" t="s">
        <v>1697</v>
      </c>
      <c r="D84" s="237" t="s">
        <v>1479</v>
      </c>
      <c r="E84" s="242" t="s">
        <v>1698</v>
      </c>
      <c r="F84" s="243" t="s">
        <v>1690</v>
      </c>
      <c r="G84" s="237" t="s">
        <v>1699</v>
      </c>
      <c r="H84" s="237" t="s">
        <v>494</v>
      </c>
      <c r="I84" s="237" t="s">
        <v>506</v>
      </c>
      <c r="J84" s="238"/>
    </row>
    <row r="85" spans="2:10" ht="24" x14ac:dyDescent="0.3">
      <c r="B85" s="241" t="s">
        <v>1474</v>
      </c>
      <c r="C85" s="237" t="s">
        <v>1700</v>
      </c>
      <c r="D85" s="237" t="s">
        <v>1479</v>
      </c>
      <c r="E85" s="242" t="s">
        <v>1701</v>
      </c>
      <c r="F85" s="243" t="s">
        <v>1702</v>
      </c>
      <c r="G85" s="237" t="s">
        <v>537</v>
      </c>
      <c r="H85" s="237" t="s">
        <v>494</v>
      </c>
      <c r="I85" s="237" t="s">
        <v>506</v>
      </c>
      <c r="J85" s="238"/>
    </row>
    <row r="86" spans="2:10" ht="24" x14ac:dyDescent="0.3">
      <c r="B86" s="241" t="s">
        <v>1474</v>
      </c>
      <c r="C86" s="237" t="s">
        <v>1703</v>
      </c>
      <c r="D86" s="237" t="s">
        <v>1479</v>
      </c>
      <c r="E86" s="242" t="s">
        <v>1704</v>
      </c>
      <c r="F86" s="243" t="s">
        <v>1705</v>
      </c>
      <c r="G86" s="237" t="s">
        <v>1706</v>
      </c>
      <c r="H86" s="237" t="s">
        <v>482</v>
      </c>
      <c r="I86" s="237" t="s">
        <v>506</v>
      </c>
      <c r="J86" s="238"/>
    </row>
    <row r="87" spans="2:10" ht="24" x14ac:dyDescent="0.3">
      <c r="B87" s="241" t="s">
        <v>1474</v>
      </c>
      <c r="C87" s="237" t="s">
        <v>1707</v>
      </c>
      <c r="D87" s="237" t="s">
        <v>1479</v>
      </c>
      <c r="E87" s="242" t="s">
        <v>1708</v>
      </c>
      <c r="F87" s="243" t="s">
        <v>1702</v>
      </c>
      <c r="G87" s="237" t="s">
        <v>1681</v>
      </c>
      <c r="H87" s="237" t="s">
        <v>494</v>
      </c>
      <c r="I87" s="237" t="s">
        <v>506</v>
      </c>
      <c r="J87" s="238"/>
    </row>
    <row r="88" spans="2:10" ht="24" x14ac:dyDescent="0.3">
      <c r="B88" s="241" t="s">
        <v>1474</v>
      </c>
      <c r="C88" s="237" t="s">
        <v>1709</v>
      </c>
      <c r="D88" s="237" t="s">
        <v>1479</v>
      </c>
      <c r="E88" s="242" t="s">
        <v>1710</v>
      </c>
      <c r="F88" s="243" t="s">
        <v>1705</v>
      </c>
      <c r="G88" s="237" t="s">
        <v>1681</v>
      </c>
      <c r="H88" s="237" t="s">
        <v>1711</v>
      </c>
      <c r="I88" s="237" t="s">
        <v>1696</v>
      </c>
      <c r="J88" s="238"/>
    </row>
    <row r="89" spans="2:10" ht="24" x14ac:dyDescent="0.3">
      <c r="B89" s="241" t="s">
        <v>1474</v>
      </c>
      <c r="C89" s="237" t="s">
        <v>1712</v>
      </c>
      <c r="D89" s="237" t="s">
        <v>1479</v>
      </c>
      <c r="E89" s="242" t="s">
        <v>1713</v>
      </c>
      <c r="F89" s="243" t="s">
        <v>1690</v>
      </c>
      <c r="G89" s="237" t="s">
        <v>1699</v>
      </c>
      <c r="H89" s="237" t="s">
        <v>1714</v>
      </c>
      <c r="I89" s="237" t="s">
        <v>506</v>
      </c>
      <c r="J89" s="238"/>
    </row>
    <row r="90" spans="2:10" ht="24" x14ac:dyDescent="0.3">
      <c r="B90" s="241" t="s">
        <v>1474</v>
      </c>
      <c r="C90" s="237" t="s">
        <v>1715</v>
      </c>
      <c r="D90" s="237" t="s">
        <v>1716</v>
      </c>
      <c r="E90" s="242" t="s">
        <v>1717</v>
      </c>
      <c r="F90" s="243" t="s">
        <v>1693</v>
      </c>
      <c r="G90" s="237" t="s">
        <v>1718</v>
      </c>
      <c r="H90" s="237" t="s">
        <v>482</v>
      </c>
      <c r="I90" s="237" t="s">
        <v>1696</v>
      </c>
      <c r="J90" s="238"/>
    </row>
    <row r="91" spans="2:10" ht="24" x14ac:dyDescent="0.3">
      <c r="B91" s="241" t="s">
        <v>1474</v>
      </c>
      <c r="C91" s="237" t="s">
        <v>1719</v>
      </c>
      <c r="D91" s="237" t="s">
        <v>1716</v>
      </c>
      <c r="E91" s="242" t="s">
        <v>1720</v>
      </c>
      <c r="F91" s="243" t="s">
        <v>1690</v>
      </c>
      <c r="G91" s="237" t="s">
        <v>1721</v>
      </c>
      <c r="H91" s="237" t="s">
        <v>494</v>
      </c>
      <c r="I91" s="237" t="s">
        <v>506</v>
      </c>
      <c r="J91" s="238"/>
    </row>
    <row r="92" spans="2:10" ht="24" x14ac:dyDescent="0.3">
      <c r="B92" s="241" t="s">
        <v>1474</v>
      </c>
      <c r="C92" s="237" t="s">
        <v>1722</v>
      </c>
      <c r="D92" s="237" t="s">
        <v>1716</v>
      </c>
      <c r="E92" s="242" t="s">
        <v>1723</v>
      </c>
      <c r="F92" s="243" t="s">
        <v>1690</v>
      </c>
      <c r="G92" s="237" t="s">
        <v>505</v>
      </c>
      <c r="H92" s="237" t="s">
        <v>494</v>
      </c>
      <c r="I92" s="237" t="s">
        <v>506</v>
      </c>
      <c r="J92" s="238"/>
    </row>
    <row r="93" spans="2:10" ht="24" x14ac:dyDescent="0.3">
      <c r="B93" s="241" t="s">
        <v>1474</v>
      </c>
      <c r="C93" s="237" t="s">
        <v>1724</v>
      </c>
      <c r="D93" s="237" t="s">
        <v>1716</v>
      </c>
      <c r="E93" s="242" t="s">
        <v>1725</v>
      </c>
      <c r="F93" s="243" t="s">
        <v>1702</v>
      </c>
      <c r="G93" s="237" t="s">
        <v>1681</v>
      </c>
      <c r="H93" s="237" t="s">
        <v>482</v>
      </c>
      <c r="I93" s="237" t="s">
        <v>506</v>
      </c>
      <c r="J93" s="238"/>
    </row>
    <row r="94" spans="2:10" ht="24" x14ac:dyDescent="0.3">
      <c r="B94" s="241" t="s">
        <v>1474</v>
      </c>
      <c r="C94" s="237" t="s">
        <v>1726</v>
      </c>
      <c r="D94" s="237" t="s">
        <v>1716</v>
      </c>
      <c r="E94" s="242" t="s">
        <v>1727</v>
      </c>
      <c r="F94" s="243" t="s">
        <v>555</v>
      </c>
      <c r="G94" s="237" t="s">
        <v>1718</v>
      </c>
      <c r="H94" s="237" t="s">
        <v>494</v>
      </c>
      <c r="I94" s="237" t="s">
        <v>506</v>
      </c>
      <c r="J94" s="238"/>
    </row>
    <row r="95" spans="2:10" ht="24" x14ac:dyDescent="0.3">
      <c r="B95" s="241" t="s">
        <v>1474</v>
      </c>
      <c r="C95" s="237" t="s">
        <v>1728</v>
      </c>
      <c r="D95" s="237" t="s">
        <v>1061</v>
      </c>
      <c r="E95" s="242" t="s">
        <v>1729</v>
      </c>
      <c r="F95" s="243" t="s">
        <v>1690</v>
      </c>
      <c r="G95" s="237" t="s">
        <v>1681</v>
      </c>
      <c r="H95" s="237" t="s">
        <v>494</v>
      </c>
      <c r="I95" s="237" t="s">
        <v>576</v>
      </c>
      <c r="J95" s="238"/>
    </row>
    <row r="96" spans="2:10" ht="24" x14ac:dyDescent="0.3">
      <c r="B96" s="241" t="s">
        <v>1474</v>
      </c>
      <c r="C96" s="237" t="s">
        <v>1730</v>
      </c>
      <c r="D96" s="237" t="s">
        <v>1061</v>
      </c>
      <c r="E96" s="242" t="s">
        <v>1731</v>
      </c>
      <c r="F96" s="243" t="s">
        <v>555</v>
      </c>
      <c r="G96" s="237" t="s">
        <v>1681</v>
      </c>
      <c r="H96" s="237" t="s">
        <v>494</v>
      </c>
      <c r="I96" s="237" t="s">
        <v>526</v>
      </c>
      <c r="J96" s="238"/>
    </row>
    <row r="97" spans="2:10" ht="24" x14ac:dyDescent="0.3">
      <c r="B97" s="241" t="s">
        <v>1474</v>
      </c>
      <c r="C97" s="237" t="s">
        <v>1732</v>
      </c>
      <c r="D97" s="237" t="s">
        <v>1733</v>
      </c>
      <c r="E97" s="242" t="s">
        <v>1734</v>
      </c>
      <c r="F97" s="243" t="s">
        <v>1693</v>
      </c>
      <c r="G97" s="237" t="s">
        <v>1735</v>
      </c>
      <c r="H97" s="237" t="s">
        <v>494</v>
      </c>
      <c r="I97" s="237" t="s">
        <v>1736</v>
      </c>
      <c r="J97" s="238"/>
    </row>
    <row r="98" spans="2:10" ht="24" x14ac:dyDescent="0.3">
      <c r="B98" s="241" t="s">
        <v>1474</v>
      </c>
      <c r="C98" s="237" t="s">
        <v>1737</v>
      </c>
      <c r="D98" s="237" t="s">
        <v>1738</v>
      </c>
      <c r="E98" s="242" t="s">
        <v>1739</v>
      </c>
      <c r="F98" s="243" t="s">
        <v>1705</v>
      </c>
      <c r="G98" s="237" t="s">
        <v>1706</v>
      </c>
      <c r="H98" s="237" t="s">
        <v>482</v>
      </c>
      <c r="I98" s="237" t="s">
        <v>1740</v>
      </c>
      <c r="J98" s="238"/>
    </row>
    <row r="99" spans="2:10" ht="24" x14ac:dyDescent="0.3">
      <c r="B99" s="241" t="s">
        <v>1474</v>
      </c>
      <c r="C99" s="237" t="s">
        <v>1741</v>
      </c>
      <c r="D99" s="237" t="s">
        <v>1742</v>
      </c>
      <c r="E99" s="242" t="s">
        <v>1743</v>
      </c>
      <c r="F99" s="243" t="s">
        <v>1744</v>
      </c>
      <c r="G99" s="237" t="s">
        <v>1686</v>
      </c>
      <c r="H99" s="237" t="s">
        <v>482</v>
      </c>
      <c r="I99" s="237" t="s">
        <v>1745</v>
      </c>
      <c r="J99" s="238"/>
    </row>
    <row r="100" spans="2:10" ht="24" x14ac:dyDescent="0.3">
      <c r="B100" s="241" t="s">
        <v>1474</v>
      </c>
      <c r="C100" s="237" t="s">
        <v>1746</v>
      </c>
      <c r="D100" s="237" t="s">
        <v>1733</v>
      </c>
      <c r="E100" s="242" t="s">
        <v>1747</v>
      </c>
      <c r="F100" s="243" t="s">
        <v>555</v>
      </c>
      <c r="G100" s="237" t="s">
        <v>1735</v>
      </c>
      <c r="H100" s="237" t="s">
        <v>494</v>
      </c>
      <c r="I100" s="237" t="s">
        <v>1748</v>
      </c>
      <c r="J100" s="238"/>
    </row>
    <row r="101" spans="2:10" ht="24" x14ac:dyDescent="0.3">
      <c r="B101" s="241" t="s">
        <v>1474</v>
      </c>
      <c r="C101" s="237" t="s">
        <v>1749</v>
      </c>
      <c r="D101" s="237" t="s">
        <v>1479</v>
      </c>
      <c r="E101" s="242" t="s">
        <v>1750</v>
      </c>
      <c r="F101" s="243" t="s">
        <v>1690</v>
      </c>
      <c r="G101" s="237" t="s">
        <v>1751</v>
      </c>
      <c r="H101" s="237" t="s">
        <v>494</v>
      </c>
      <c r="I101" s="237" t="s">
        <v>526</v>
      </c>
      <c r="J101" s="238"/>
    </row>
    <row r="102" spans="2:10" x14ac:dyDescent="0.3">
      <c r="B102" s="241" t="s">
        <v>1474</v>
      </c>
      <c r="C102" s="237" t="s">
        <v>1752</v>
      </c>
      <c r="D102" s="237" t="s">
        <v>1471</v>
      </c>
      <c r="E102" s="242" t="s">
        <v>1753</v>
      </c>
      <c r="F102" s="243" t="s">
        <v>1754</v>
      </c>
      <c r="G102" s="237" t="s">
        <v>1374</v>
      </c>
      <c r="H102" s="237" t="s">
        <v>1755</v>
      </c>
      <c r="I102" s="237" t="s">
        <v>515</v>
      </c>
      <c r="J102" s="238"/>
    </row>
    <row r="103" spans="2:10" x14ac:dyDescent="0.3">
      <c r="B103" s="241" t="s">
        <v>1474</v>
      </c>
      <c r="C103" s="237" t="s">
        <v>1756</v>
      </c>
      <c r="D103" s="237" t="s">
        <v>1471</v>
      </c>
      <c r="E103" s="242" t="s">
        <v>1757</v>
      </c>
      <c r="F103" s="243" t="s">
        <v>1758</v>
      </c>
      <c r="G103" s="237" t="s">
        <v>1759</v>
      </c>
      <c r="H103" s="237" t="s">
        <v>525</v>
      </c>
      <c r="I103" s="237" t="s">
        <v>526</v>
      </c>
      <c r="J103" s="238"/>
    </row>
    <row r="104" spans="2:10" x14ac:dyDescent="0.3">
      <c r="B104" s="241" t="s">
        <v>1474</v>
      </c>
      <c r="C104" s="237" t="s">
        <v>1760</v>
      </c>
      <c r="D104" s="237" t="s">
        <v>1471</v>
      </c>
      <c r="E104" s="242" t="s">
        <v>1761</v>
      </c>
      <c r="F104" s="243" t="s">
        <v>542</v>
      </c>
      <c r="G104" s="237" t="s">
        <v>1759</v>
      </c>
      <c r="H104" s="237" t="s">
        <v>525</v>
      </c>
      <c r="I104" s="237" t="s">
        <v>1477</v>
      </c>
      <c r="J104" s="238"/>
    </row>
    <row r="105" spans="2:10" x14ac:dyDescent="0.3">
      <c r="B105" s="241" t="s">
        <v>1474</v>
      </c>
      <c r="C105" s="237" t="s">
        <v>1762</v>
      </c>
      <c r="D105" s="237" t="s">
        <v>1471</v>
      </c>
      <c r="E105" s="242" t="s">
        <v>1763</v>
      </c>
      <c r="F105" s="243" t="s">
        <v>521</v>
      </c>
      <c r="G105" s="237" t="s">
        <v>537</v>
      </c>
      <c r="H105" s="237" t="s">
        <v>514</v>
      </c>
      <c r="I105" s="237" t="s">
        <v>526</v>
      </c>
      <c r="J105" s="238"/>
    </row>
    <row r="106" spans="2:10" ht="24" x14ac:dyDescent="0.3">
      <c r="B106" s="241" t="s">
        <v>1474</v>
      </c>
      <c r="C106" s="237" t="s">
        <v>1764</v>
      </c>
      <c r="D106" s="237" t="s">
        <v>1479</v>
      </c>
      <c r="E106" s="242" t="s">
        <v>1765</v>
      </c>
      <c r="F106" s="243" t="s">
        <v>563</v>
      </c>
      <c r="G106" s="237" t="s">
        <v>537</v>
      </c>
      <c r="H106" s="237" t="s">
        <v>525</v>
      </c>
      <c r="I106" s="237" t="s">
        <v>1477</v>
      </c>
      <c r="J106" s="238"/>
    </row>
    <row r="107" spans="2:10" ht="24" x14ac:dyDescent="0.3">
      <c r="B107" s="241" t="s">
        <v>1474</v>
      </c>
      <c r="C107" s="237" t="s">
        <v>1766</v>
      </c>
      <c r="D107" s="237" t="s">
        <v>1767</v>
      </c>
      <c r="E107" s="242" t="s">
        <v>1768</v>
      </c>
      <c r="F107" s="243" t="s">
        <v>555</v>
      </c>
      <c r="G107" s="237" t="s">
        <v>537</v>
      </c>
      <c r="H107" s="237" t="s">
        <v>494</v>
      </c>
      <c r="I107" s="237" t="s">
        <v>1677</v>
      </c>
      <c r="J107" s="238"/>
    </row>
    <row r="108" spans="2:10" ht="24" x14ac:dyDescent="0.3">
      <c r="B108" s="241" t="s">
        <v>1474</v>
      </c>
      <c r="C108" s="237" t="s">
        <v>1769</v>
      </c>
      <c r="D108" s="237" t="s">
        <v>1770</v>
      </c>
      <c r="E108" s="242" t="s">
        <v>1771</v>
      </c>
      <c r="F108" s="243" t="s">
        <v>555</v>
      </c>
      <c r="G108" s="237" t="s">
        <v>1699</v>
      </c>
      <c r="H108" s="237" t="s">
        <v>494</v>
      </c>
      <c r="I108" s="237" t="s">
        <v>1736</v>
      </c>
      <c r="J108" s="238"/>
    </row>
    <row r="109" spans="2:10" ht="24" x14ac:dyDescent="0.3">
      <c r="B109" s="241" t="s">
        <v>1474</v>
      </c>
      <c r="C109" s="237" t="s">
        <v>1772</v>
      </c>
      <c r="D109" s="237" t="s">
        <v>1617</v>
      </c>
      <c r="E109" s="242" t="s">
        <v>1773</v>
      </c>
      <c r="F109" s="243" t="s">
        <v>555</v>
      </c>
      <c r="G109" s="237" t="s">
        <v>524</v>
      </c>
      <c r="H109" s="237" t="s">
        <v>494</v>
      </c>
      <c r="I109" s="237" t="s">
        <v>1677</v>
      </c>
      <c r="J109" s="238"/>
    </row>
    <row r="110" spans="2:10" x14ac:dyDescent="0.3">
      <c r="B110" s="241" t="s">
        <v>1474</v>
      </c>
      <c r="C110" s="237" t="s">
        <v>1774</v>
      </c>
      <c r="D110" s="237" t="s">
        <v>1775</v>
      </c>
      <c r="E110" s="242" t="s">
        <v>1776</v>
      </c>
      <c r="F110" s="243" t="s">
        <v>1777</v>
      </c>
      <c r="G110" s="237" t="s">
        <v>1681</v>
      </c>
      <c r="H110" s="237" t="s">
        <v>494</v>
      </c>
      <c r="I110" s="237" t="s">
        <v>506</v>
      </c>
      <c r="J110" s="238"/>
    </row>
    <row r="111" spans="2:10" ht="24" x14ac:dyDescent="0.3">
      <c r="B111" s="241" t="s">
        <v>1474</v>
      </c>
      <c r="C111" s="237" t="s">
        <v>1778</v>
      </c>
      <c r="D111" s="237" t="s">
        <v>1779</v>
      </c>
      <c r="E111" s="242" t="s">
        <v>1780</v>
      </c>
      <c r="F111" s="243" t="s">
        <v>555</v>
      </c>
      <c r="G111" s="237" t="s">
        <v>1482</v>
      </c>
      <c r="H111" s="237" t="s">
        <v>525</v>
      </c>
      <c r="I111" s="237" t="s">
        <v>506</v>
      </c>
      <c r="J111" s="238"/>
    </row>
    <row r="112" spans="2:10" ht="24" x14ac:dyDescent="0.3">
      <c r="B112" s="241" t="s">
        <v>1474</v>
      </c>
      <c r="C112" s="237" t="s">
        <v>1781</v>
      </c>
      <c r="D112" s="237" t="s">
        <v>1738</v>
      </c>
      <c r="E112" s="242" t="s">
        <v>1782</v>
      </c>
      <c r="F112" s="243" t="s">
        <v>555</v>
      </c>
      <c r="G112" s="237" t="s">
        <v>1681</v>
      </c>
      <c r="H112" s="237" t="s">
        <v>494</v>
      </c>
      <c r="I112" s="237" t="s">
        <v>506</v>
      </c>
      <c r="J112" s="238"/>
    </row>
    <row r="113" spans="2:10" x14ac:dyDescent="0.3">
      <c r="B113" s="241" t="s">
        <v>1474</v>
      </c>
      <c r="C113" s="237" t="s">
        <v>1783</v>
      </c>
      <c r="D113" s="237" t="s">
        <v>1784</v>
      </c>
      <c r="E113" s="242" t="s">
        <v>1785</v>
      </c>
      <c r="F113" s="243" t="s">
        <v>1786</v>
      </c>
      <c r="G113" s="237" t="s">
        <v>524</v>
      </c>
      <c r="H113" s="237" t="s">
        <v>494</v>
      </c>
      <c r="I113" s="237" t="s">
        <v>506</v>
      </c>
      <c r="J113" s="238"/>
    </row>
    <row r="114" spans="2:10" x14ac:dyDescent="0.3">
      <c r="B114" s="241" t="s">
        <v>1474</v>
      </c>
      <c r="C114" s="237" t="s">
        <v>1787</v>
      </c>
      <c r="D114" s="237" t="s">
        <v>1788</v>
      </c>
      <c r="E114" s="242" t="s">
        <v>1789</v>
      </c>
      <c r="F114" s="243" t="s">
        <v>1790</v>
      </c>
      <c r="G114" s="237" t="s">
        <v>1681</v>
      </c>
      <c r="H114" s="237" t="s">
        <v>494</v>
      </c>
      <c r="I114" s="237" t="s">
        <v>506</v>
      </c>
      <c r="J114" s="238"/>
    </row>
    <row r="115" spans="2:10" ht="24" x14ac:dyDescent="0.3">
      <c r="B115" s="241" t="s">
        <v>1474</v>
      </c>
      <c r="C115" s="237" t="s">
        <v>1791</v>
      </c>
      <c r="D115" s="237" t="s">
        <v>1792</v>
      </c>
      <c r="E115" s="242" t="s">
        <v>1793</v>
      </c>
      <c r="F115" s="243" t="s">
        <v>555</v>
      </c>
      <c r="G115" s="237" t="s">
        <v>537</v>
      </c>
      <c r="H115" s="237" t="s">
        <v>494</v>
      </c>
      <c r="I115" s="237" t="s">
        <v>526</v>
      </c>
      <c r="J115" s="238"/>
    </row>
    <row r="116" spans="2:10" x14ac:dyDescent="0.3">
      <c r="B116" s="241" t="s">
        <v>1474</v>
      </c>
      <c r="C116" s="237" t="s">
        <v>1794</v>
      </c>
      <c r="D116" s="237" t="s">
        <v>1471</v>
      </c>
      <c r="E116" s="242" t="s">
        <v>1795</v>
      </c>
      <c r="F116" s="243" t="s">
        <v>542</v>
      </c>
      <c r="G116" s="237" t="s">
        <v>524</v>
      </c>
      <c r="H116" s="237" t="s">
        <v>525</v>
      </c>
      <c r="I116" s="237" t="s">
        <v>1477</v>
      </c>
      <c r="J116" s="238"/>
    </row>
    <row r="117" spans="2:10" x14ac:dyDescent="0.3">
      <c r="B117" s="241" t="s">
        <v>1474</v>
      </c>
      <c r="C117" s="237" t="s">
        <v>1796</v>
      </c>
      <c r="D117" s="237" t="s">
        <v>1471</v>
      </c>
      <c r="E117" s="242" t="s">
        <v>1797</v>
      </c>
      <c r="F117" s="243" t="s">
        <v>542</v>
      </c>
      <c r="G117" s="237" t="s">
        <v>1759</v>
      </c>
      <c r="H117" s="237" t="s">
        <v>525</v>
      </c>
      <c r="I117" s="237" t="s">
        <v>1477</v>
      </c>
      <c r="J117" s="238"/>
    </row>
    <row r="118" spans="2:10" x14ac:dyDescent="0.3">
      <c r="B118" s="241" t="s">
        <v>1474</v>
      </c>
      <c r="C118" s="237" t="s">
        <v>1798</v>
      </c>
      <c r="D118" s="237" t="s">
        <v>1471</v>
      </c>
      <c r="E118" s="242" t="s">
        <v>1799</v>
      </c>
      <c r="F118" s="243" t="s">
        <v>542</v>
      </c>
      <c r="G118" s="237" t="s">
        <v>524</v>
      </c>
      <c r="H118" s="237" t="s">
        <v>525</v>
      </c>
      <c r="I118" s="237" t="s">
        <v>1477</v>
      </c>
      <c r="J118" s="238"/>
    </row>
    <row r="119" spans="2:10" x14ac:dyDescent="0.3">
      <c r="B119" s="241" t="s">
        <v>1474</v>
      </c>
      <c r="C119" s="237" t="s">
        <v>1800</v>
      </c>
      <c r="D119" s="237" t="s">
        <v>1471</v>
      </c>
      <c r="E119" s="242" t="s">
        <v>1801</v>
      </c>
      <c r="F119" s="243" t="s">
        <v>579</v>
      </c>
      <c r="G119" s="237" t="s">
        <v>524</v>
      </c>
      <c r="H119" s="237" t="s">
        <v>525</v>
      </c>
      <c r="I119" s="237" t="s">
        <v>526</v>
      </c>
      <c r="J119" s="238"/>
    </row>
    <row r="120" spans="2:10" x14ac:dyDescent="0.3">
      <c r="B120" s="241" t="s">
        <v>1474</v>
      </c>
      <c r="C120" s="237" t="s">
        <v>1802</v>
      </c>
      <c r="D120" s="237" t="s">
        <v>1471</v>
      </c>
      <c r="E120" s="242" t="s">
        <v>1803</v>
      </c>
      <c r="F120" s="243" t="s">
        <v>579</v>
      </c>
      <c r="G120" s="237" t="s">
        <v>537</v>
      </c>
      <c r="H120" s="237" t="s">
        <v>525</v>
      </c>
      <c r="I120" s="237" t="s">
        <v>591</v>
      </c>
      <c r="J120" s="238"/>
    </row>
    <row r="121" spans="2:10" ht="24" x14ac:dyDescent="0.3">
      <c r="B121" s="241" t="s">
        <v>1474</v>
      </c>
      <c r="C121" s="237" t="s">
        <v>1804</v>
      </c>
      <c r="D121" s="237" t="s">
        <v>1479</v>
      </c>
      <c r="E121" s="242" t="s">
        <v>1805</v>
      </c>
      <c r="F121" s="243" t="s">
        <v>603</v>
      </c>
      <c r="G121" s="237" t="s">
        <v>1718</v>
      </c>
      <c r="H121" s="237" t="s">
        <v>525</v>
      </c>
      <c r="I121" s="237" t="s">
        <v>591</v>
      </c>
      <c r="J121" s="238"/>
    </row>
    <row r="122" spans="2:10" ht="24" x14ac:dyDescent="0.3">
      <c r="B122" s="241" t="s">
        <v>1474</v>
      </c>
      <c r="C122" s="237" t="s">
        <v>1806</v>
      </c>
      <c r="D122" s="237" t="s">
        <v>1479</v>
      </c>
      <c r="E122" s="242" t="s">
        <v>1807</v>
      </c>
      <c r="F122" s="243" t="s">
        <v>1808</v>
      </c>
      <c r="G122" s="237" t="s">
        <v>1809</v>
      </c>
      <c r="H122" s="237" t="s">
        <v>1810</v>
      </c>
      <c r="I122" s="237" t="s">
        <v>576</v>
      </c>
      <c r="J122" s="238"/>
    </row>
    <row r="123" spans="2:10" ht="24" x14ac:dyDescent="0.3">
      <c r="B123" s="241" t="s">
        <v>1474</v>
      </c>
      <c r="C123" s="237" t="s">
        <v>1811</v>
      </c>
      <c r="D123" s="237" t="s">
        <v>1479</v>
      </c>
      <c r="E123" s="242" t="s">
        <v>1807</v>
      </c>
      <c r="F123" s="243" t="s">
        <v>1808</v>
      </c>
      <c r="G123" s="237" t="s">
        <v>1809</v>
      </c>
      <c r="H123" s="237" t="s">
        <v>1810</v>
      </c>
      <c r="I123" s="237" t="s">
        <v>576</v>
      </c>
      <c r="J123" s="238"/>
    </row>
    <row r="124" spans="2:10" ht="24" x14ac:dyDescent="0.3">
      <c r="B124" s="241" t="s">
        <v>1474</v>
      </c>
      <c r="C124" s="237" t="s">
        <v>1812</v>
      </c>
      <c r="D124" s="237" t="s">
        <v>1617</v>
      </c>
      <c r="E124" s="242" t="s">
        <v>1813</v>
      </c>
      <c r="F124" s="243" t="s">
        <v>1814</v>
      </c>
      <c r="G124" s="237" t="s">
        <v>537</v>
      </c>
      <c r="H124" s="237" t="s">
        <v>494</v>
      </c>
      <c r="I124" s="237" t="s">
        <v>576</v>
      </c>
      <c r="J124" s="238"/>
    </row>
    <row r="125" spans="2:10" ht="24" x14ac:dyDescent="0.3">
      <c r="B125" s="241" t="s">
        <v>1474</v>
      </c>
      <c r="C125" s="237" t="s">
        <v>1815</v>
      </c>
      <c r="D125" s="237" t="s">
        <v>1716</v>
      </c>
      <c r="E125" s="242" t="s">
        <v>1816</v>
      </c>
      <c r="F125" s="243" t="s">
        <v>955</v>
      </c>
      <c r="G125" s="237" t="s">
        <v>1817</v>
      </c>
      <c r="H125" s="237" t="s">
        <v>494</v>
      </c>
      <c r="I125" s="237" t="s">
        <v>526</v>
      </c>
      <c r="J125" s="238"/>
    </row>
    <row r="126" spans="2:10" ht="24" x14ac:dyDescent="0.3">
      <c r="B126" s="241" t="s">
        <v>1474</v>
      </c>
      <c r="C126" s="237" t="s">
        <v>1818</v>
      </c>
      <c r="D126" s="237" t="s">
        <v>1716</v>
      </c>
      <c r="E126" s="242" t="s">
        <v>1819</v>
      </c>
      <c r="F126" s="243" t="s">
        <v>955</v>
      </c>
      <c r="G126" s="237" t="s">
        <v>1817</v>
      </c>
      <c r="H126" s="237" t="s">
        <v>494</v>
      </c>
      <c r="I126" s="237" t="s">
        <v>526</v>
      </c>
      <c r="J126" s="238"/>
    </row>
    <row r="127" spans="2:10" ht="24" x14ac:dyDescent="0.3">
      <c r="B127" s="241" t="s">
        <v>1474</v>
      </c>
      <c r="C127" s="237" t="s">
        <v>1820</v>
      </c>
      <c r="D127" s="237" t="s">
        <v>1479</v>
      </c>
      <c r="E127" s="242" t="s">
        <v>1821</v>
      </c>
      <c r="F127" s="243" t="s">
        <v>603</v>
      </c>
      <c r="G127" s="237" t="s">
        <v>524</v>
      </c>
      <c r="H127" s="237" t="s">
        <v>525</v>
      </c>
      <c r="I127" s="237" t="s">
        <v>1477</v>
      </c>
      <c r="J127" s="238"/>
    </row>
    <row r="128" spans="2:10" ht="24" x14ac:dyDescent="0.3">
      <c r="B128" s="241" t="s">
        <v>1474</v>
      </c>
      <c r="C128" s="237" t="s">
        <v>1822</v>
      </c>
      <c r="D128" s="237" t="s">
        <v>1479</v>
      </c>
      <c r="E128" s="242" t="s">
        <v>1823</v>
      </c>
      <c r="F128" s="243" t="s">
        <v>603</v>
      </c>
      <c r="G128" s="237" t="s">
        <v>524</v>
      </c>
      <c r="H128" s="237" t="s">
        <v>525</v>
      </c>
      <c r="I128" s="237" t="s">
        <v>591</v>
      </c>
      <c r="J128" s="238"/>
    </row>
    <row r="129" spans="2:10" ht="24" x14ac:dyDescent="0.3">
      <c r="B129" s="241" t="s">
        <v>1474</v>
      </c>
      <c r="C129" s="237" t="s">
        <v>1824</v>
      </c>
      <c r="D129" s="237" t="s">
        <v>1479</v>
      </c>
      <c r="E129" s="242" t="s">
        <v>1825</v>
      </c>
      <c r="F129" s="243" t="s">
        <v>612</v>
      </c>
      <c r="G129" s="237" t="s">
        <v>524</v>
      </c>
      <c r="H129" s="237" t="s">
        <v>643</v>
      </c>
      <c r="I129" s="237" t="s">
        <v>591</v>
      </c>
      <c r="J129" s="238"/>
    </row>
    <row r="130" spans="2:10" ht="24" x14ac:dyDescent="0.3">
      <c r="B130" s="241" t="s">
        <v>1474</v>
      </c>
      <c r="C130" s="237" t="s">
        <v>1826</v>
      </c>
      <c r="D130" s="237" t="s">
        <v>1479</v>
      </c>
      <c r="E130" s="242" t="s">
        <v>1827</v>
      </c>
      <c r="F130" s="243" t="s">
        <v>612</v>
      </c>
      <c r="G130" s="237" t="s">
        <v>524</v>
      </c>
      <c r="H130" s="237" t="s">
        <v>643</v>
      </c>
      <c r="I130" s="237" t="s">
        <v>591</v>
      </c>
      <c r="J130" s="238"/>
    </row>
    <row r="131" spans="2:10" x14ac:dyDescent="0.3">
      <c r="B131" s="241" t="s">
        <v>1474</v>
      </c>
      <c r="C131" s="237" t="s">
        <v>1828</v>
      </c>
      <c r="D131" s="237" t="s">
        <v>1471</v>
      </c>
      <c r="E131" s="242" t="s">
        <v>1829</v>
      </c>
      <c r="F131" s="243" t="s">
        <v>634</v>
      </c>
      <c r="G131" s="237" t="s">
        <v>1397</v>
      </c>
      <c r="H131" s="237" t="s">
        <v>638</v>
      </c>
      <c r="I131" s="237" t="s">
        <v>1473</v>
      </c>
      <c r="J131" s="238"/>
    </row>
    <row r="132" spans="2:10" x14ac:dyDescent="0.3">
      <c r="B132" s="241" t="s">
        <v>1474</v>
      </c>
      <c r="C132" s="237" t="s">
        <v>1830</v>
      </c>
      <c r="D132" s="237" t="s">
        <v>1471</v>
      </c>
      <c r="E132" s="242" t="s">
        <v>1831</v>
      </c>
      <c r="F132" s="243" t="s">
        <v>634</v>
      </c>
      <c r="G132" s="237" t="s">
        <v>995</v>
      </c>
      <c r="H132" s="237" t="s">
        <v>638</v>
      </c>
      <c r="I132" s="237" t="s">
        <v>1473</v>
      </c>
      <c r="J132" s="238"/>
    </row>
    <row r="133" spans="2:10" x14ac:dyDescent="0.3">
      <c r="B133" s="241" t="s">
        <v>1474</v>
      </c>
      <c r="C133" s="237" t="s">
        <v>1832</v>
      </c>
      <c r="D133" s="237" t="s">
        <v>1471</v>
      </c>
      <c r="E133" s="242" t="s">
        <v>1833</v>
      </c>
      <c r="F133" s="243" t="s">
        <v>634</v>
      </c>
      <c r="G133" s="237" t="s">
        <v>995</v>
      </c>
      <c r="H133" s="237" t="s">
        <v>1834</v>
      </c>
      <c r="I133" s="237" t="s">
        <v>1473</v>
      </c>
      <c r="J133" s="238"/>
    </row>
    <row r="134" spans="2:10" x14ac:dyDescent="0.3">
      <c r="B134" s="241" t="s">
        <v>1474</v>
      </c>
      <c r="C134" s="237" t="s">
        <v>1835</v>
      </c>
      <c r="D134" s="237" t="s">
        <v>1471</v>
      </c>
      <c r="E134" s="242" t="s">
        <v>1836</v>
      </c>
      <c r="F134" s="243" t="s">
        <v>634</v>
      </c>
      <c r="G134" s="237" t="s">
        <v>1490</v>
      </c>
      <c r="H134" s="237" t="s">
        <v>638</v>
      </c>
      <c r="I134" s="237" t="s">
        <v>1473</v>
      </c>
      <c r="J134" s="238"/>
    </row>
    <row r="135" spans="2:10" x14ac:dyDescent="0.3">
      <c r="B135" s="241" t="s">
        <v>1474</v>
      </c>
      <c r="C135" s="237" t="s">
        <v>1837</v>
      </c>
      <c r="D135" s="237" t="s">
        <v>1471</v>
      </c>
      <c r="E135" s="242" t="s">
        <v>1836</v>
      </c>
      <c r="F135" s="243" t="s">
        <v>634</v>
      </c>
      <c r="G135" s="237" t="s">
        <v>1490</v>
      </c>
      <c r="H135" s="237" t="s">
        <v>638</v>
      </c>
      <c r="I135" s="237" t="s">
        <v>1473</v>
      </c>
      <c r="J135" s="238"/>
    </row>
    <row r="136" spans="2:10" ht="24" x14ac:dyDescent="0.3">
      <c r="B136" s="241" t="s">
        <v>1474</v>
      </c>
      <c r="C136" s="237" t="s">
        <v>1838</v>
      </c>
      <c r="D136" s="237" t="s">
        <v>1479</v>
      </c>
      <c r="E136" s="242" t="s">
        <v>1839</v>
      </c>
      <c r="F136" s="243" t="s">
        <v>1481</v>
      </c>
      <c r="G136" s="237" t="s">
        <v>1840</v>
      </c>
      <c r="H136" s="237" t="s">
        <v>643</v>
      </c>
      <c r="I136" s="237" t="s">
        <v>591</v>
      </c>
      <c r="J136" s="238"/>
    </row>
    <row r="137" spans="2:10" ht="24" x14ac:dyDescent="0.3">
      <c r="B137" s="241" t="s">
        <v>1474</v>
      </c>
      <c r="C137" s="237" t="s">
        <v>1841</v>
      </c>
      <c r="D137" s="237" t="s">
        <v>1479</v>
      </c>
      <c r="E137" s="242" t="s">
        <v>1839</v>
      </c>
      <c r="F137" s="243" t="s">
        <v>1481</v>
      </c>
      <c r="G137" s="237" t="s">
        <v>1840</v>
      </c>
      <c r="H137" s="237" t="s">
        <v>643</v>
      </c>
      <c r="I137" s="237" t="s">
        <v>1473</v>
      </c>
      <c r="J137" s="238"/>
    </row>
    <row r="138" spans="2:10" ht="24" x14ac:dyDescent="0.3">
      <c r="B138" s="241" t="s">
        <v>1474</v>
      </c>
      <c r="C138" s="237" t="s">
        <v>1842</v>
      </c>
      <c r="D138" s="237" t="s">
        <v>1733</v>
      </c>
      <c r="E138" s="242" t="s">
        <v>1843</v>
      </c>
      <c r="F138" s="243" t="s">
        <v>1481</v>
      </c>
      <c r="G138" s="237" t="s">
        <v>537</v>
      </c>
      <c r="H138" s="237" t="s">
        <v>525</v>
      </c>
      <c r="I138" s="237" t="s">
        <v>568</v>
      </c>
      <c r="J138" s="238"/>
    </row>
    <row r="139" spans="2:10" x14ac:dyDescent="0.3">
      <c r="B139" s="241" t="s">
        <v>1474</v>
      </c>
      <c r="C139" s="237" t="s">
        <v>1844</v>
      </c>
      <c r="D139" s="237" t="s">
        <v>1845</v>
      </c>
      <c r="E139" s="242" t="s">
        <v>1846</v>
      </c>
      <c r="F139" s="243" t="s">
        <v>1847</v>
      </c>
      <c r="G139" s="237" t="s">
        <v>537</v>
      </c>
      <c r="H139" s="237" t="s">
        <v>494</v>
      </c>
      <c r="I139" s="237" t="s">
        <v>1477</v>
      </c>
      <c r="J139" s="238"/>
    </row>
    <row r="140" spans="2:10" ht="24" x14ac:dyDescent="0.3">
      <c r="B140" s="241" t="s">
        <v>1474</v>
      </c>
      <c r="C140" s="237" t="s">
        <v>1848</v>
      </c>
      <c r="D140" s="237" t="s">
        <v>1617</v>
      </c>
      <c r="E140" s="242" t="s">
        <v>1849</v>
      </c>
      <c r="F140" s="243" t="s">
        <v>1850</v>
      </c>
      <c r="G140" s="237" t="s">
        <v>1851</v>
      </c>
      <c r="H140" s="237" t="s">
        <v>494</v>
      </c>
      <c r="I140" s="237" t="s">
        <v>568</v>
      </c>
      <c r="J140" s="238"/>
    </row>
    <row r="141" spans="2:10" ht="24" x14ac:dyDescent="0.3">
      <c r="B141" s="241" t="s">
        <v>1474</v>
      </c>
      <c r="C141" s="237" t="s">
        <v>1852</v>
      </c>
      <c r="D141" s="237" t="s">
        <v>1617</v>
      </c>
      <c r="E141" s="242" t="s">
        <v>1849</v>
      </c>
      <c r="F141" s="243" t="s">
        <v>1850</v>
      </c>
      <c r="G141" s="237" t="s">
        <v>1851</v>
      </c>
      <c r="H141" s="237" t="s">
        <v>494</v>
      </c>
      <c r="I141" s="237" t="s">
        <v>568</v>
      </c>
      <c r="J141" s="238"/>
    </row>
    <row r="142" spans="2:10" x14ac:dyDescent="0.3">
      <c r="B142" s="241" t="s">
        <v>1474</v>
      </c>
      <c r="C142" s="237" t="s">
        <v>1853</v>
      </c>
      <c r="D142" s="237" t="s">
        <v>1471</v>
      </c>
      <c r="E142" s="242" t="s">
        <v>1854</v>
      </c>
      <c r="F142" s="243" t="s">
        <v>673</v>
      </c>
      <c r="G142" s="237" t="s">
        <v>1397</v>
      </c>
      <c r="H142" s="237" t="s">
        <v>638</v>
      </c>
      <c r="I142" s="237" t="s">
        <v>1537</v>
      </c>
      <c r="J142" s="238"/>
    </row>
    <row r="143" spans="2:10" x14ac:dyDescent="0.3">
      <c r="B143" s="241" t="s">
        <v>1474</v>
      </c>
      <c r="C143" s="237" t="s">
        <v>1855</v>
      </c>
      <c r="D143" s="237" t="s">
        <v>1471</v>
      </c>
      <c r="E143" s="242" t="s">
        <v>1856</v>
      </c>
      <c r="F143" s="243" t="s">
        <v>673</v>
      </c>
      <c r="G143" s="237" t="s">
        <v>995</v>
      </c>
      <c r="H143" s="237" t="s">
        <v>638</v>
      </c>
      <c r="I143" s="237" t="s">
        <v>1473</v>
      </c>
      <c r="J143" s="238"/>
    </row>
    <row r="144" spans="2:10" x14ac:dyDescent="0.3">
      <c r="B144" s="241" t="s">
        <v>1474</v>
      </c>
      <c r="C144" s="237" t="s">
        <v>1857</v>
      </c>
      <c r="D144" s="237" t="s">
        <v>1471</v>
      </c>
      <c r="E144" s="242" t="s">
        <v>1858</v>
      </c>
      <c r="F144" s="243" t="s">
        <v>673</v>
      </c>
      <c r="G144" s="237" t="s">
        <v>747</v>
      </c>
      <c r="H144" s="237" t="s">
        <v>638</v>
      </c>
      <c r="I144" s="237" t="s">
        <v>1537</v>
      </c>
      <c r="J144" s="238"/>
    </row>
    <row r="145" spans="2:10" x14ac:dyDescent="0.3">
      <c r="B145" s="241" t="s">
        <v>1474</v>
      </c>
      <c r="C145" s="237" t="s">
        <v>1859</v>
      </c>
      <c r="D145" s="237" t="s">
        <v>1471</v>
      </c>
      <c r="E145" s="242" t="s">
        <v>1860</v>
      </c>
      <c r="F145" s="243" t="s">
        <v>1861</v>
      </c>
      <c r="G145" s="237" t="s">
        <v>1721</v>
      </c>
      <c r="H145" s="237" t="s">
        <v>755</v>
      </c>
      <c r="I145" s="237" t="s">
        <v>1473</v>
      </c>
      <c r="J145" s="238"/>
    </row>
    <row r="146" spans="2:10" ht="24" x14ac:dyDescent="0.3">
      <c r="B146" s="241" t="s">
        <v>1474</v>
      </c>
      <c r="C146" s="237" t="s">
        <v>1862</v>
      </c>
      <c r="D146" s="237" t="s">
        <v>1479</v>
      </c>
      <c r="E146" s="242" t="s">
        <v>1863</v>
      </c>
      <c r="F146" s="243" t="s">
        <v>710</v>
      </c>
      <c r="G146" s="237" t="s">
        <v>979</v>
      </c>
      <c r="H146" s="237" t="s">
        <v>694</v>
      </c>
      <c r="I146" s="237" t="s">
        <v>1473</v>
      </c>
      <c r="J146" s="238"/>
    </row>
    <row r="147" spans="2:10" ht="24" x14ac:dyDescent="0.3">
      <c r="B147" s="241" t="s">
        <v>1474</v>
      </c>
      <c r="C147" s="237" t="s">
        <v>1864</v>
      </c>
      <c r="D147" s="237" t="s">
        <v>1479</v>
      </c>
      <c r="E147" s="242" t="s">
        <v>1865</v>
      </c>
      <c r="F147" s="243" t="s">
        <v>1866</v>
      </c>
      <c r="G147" s="237" t="s">
        <v>1718</v>
      </c>
      <c r="H147" s="237" t="s">
        <v>482</v>
      </c>
      <c r="I147" s="237" t="s">
        <v>629</v>
      </c>
      <c r="J147" s="238"/>
    </row>
    <row r="148" spans="2:10" ht="24" x14ac:dyDescent="0.3">
      <c r="B148" s="241" t="s">
        <v>1474</v>
      </c>
      <c r="C148" s="237" t="s">
        <v>1867</v>
      </c>
      <c r="D148" s="237" t="s">
        <v>1617</v>
      </c>
      <c r="E148" s="242" t="s">
        <v>1868</v>
      </c>
      <c r="F148" s="243" t="s">
        <v>1869</v>
      </c>
      <c r="G148" s="237" t="s">
        <v>1870</v>
      </c>
      <c r="H148" s="237" t="s">
        <v>765</v>
      </c>
      <c r="I148" s="237" t="s">
        <v>629</v>
      </c>
      <c r="J148" s="238"/>
    </row>
    <row r="149" spans="2:10" ht="24" x14ac:dyDescent="0.3">
      <c r="B149" s="241" t="s">
        <v>1474</v>
      </c>
      <c r="C149" s="237" t="s">
        <v>1871</v>
      </c>
      <c r="D149" s="237" t="s">
        <v>1479</v>
      </c>
      <c r="E149" s="242" t="s">
        <v>1872</v>
      </c>
      <c r="F149" s="243" t="s">
        <v>710</v>
      </c>
      <c r="G149" s="237" t="s">
        <v>747</v>
      </c>
      <c r="H149" s="237" t="s">
        <v>694</v>
      </c>
      <c r="I149" s="237" t="s">
        <v>1537</v>
      </c>
      <c r="J149" s="238"/>
    </row>
    <row r="150" spans="2:10" ht="24" x14ac:dyDescent="0.3">
      <c r="B150" s="241" t="s">
        <v>1474</v>
      </c>
      <c r="C150" s="237" t="s">
        <v>1873</v>
      </c>
      <c r="D150" s="237" t="s">
        <v>1617</v>
      </c>
      <c r="E150" s="242" t="s">
        <v>1874</v>
      </c>
      <c r="F150" s="243" t="s">
        <v>710</v>
      </c>
      <c r="G150" s="237" t="s">
        <v>1875</v>
      </c>
      <c r="H150" s="237" t="s">
        <v>1876</v>
      </c>
      <c r="I150" s="237" t="s">
        <v>1537</v>
      </c>
      <c r="J150" s="238"/>
    </row>
    <row r="151" spans="2:10" ht="24" x14ac:dyDescent="0.3">
      <c r="B151" s="241" t="s">
        <v>1474</v>
      </c>
      <c r="C151" s="237" t="s">
        <v>1877</v>
      </c>
      <c r="D151" s="237" t="s">
        <v>1770</v>
      </c>
      <c r="E151" s="242" t="s">
        <v>1878</v>
      </c>
      <c r="F151" s="243" t="s">
        <v>751</v>
      </c>
      <c r="G151" s="237" t="s">
        <v>747</v>
      </c>
      <c r="H151" s="237" t="s">
        <v>494</v>
      </c>
      <c r="I151" s="237" t="s">
        <v>1473</v>
      </c>
      <c r="J151" s="238"/>
    </row>
    <row r="152" spans="2:10" ht="24" x14ac:dyDescent="0.3">
      <c r="B152" s="241" t="s">
        <v>1474</v>
      </c>
      <c r="C152" s="237" t="s">
        <v>1879</v>
      </c>
      <c r="D152" s="237" t="s">
        <v>1061</v>
      </c>
      <c r="E152" s="242" t="s">
        <v>1880</v>
      </c>
      <c r="F152" s="243" t="s">
        <v>710</v>
      </c>
      <c r="G152" s="237" t="s">
        <v>1482</v>
      </c>
      <c r="H152" s="237" t="s">
        <v>643</v>
      </c>
      <c r="I152" s="237" t="s">
        <v>1473</v>
      </c>
      <c r="J152" s="238"/>
    </row>
    <row r="153" spans="2:10" x14ac:dyDescent="0.3">
      <c r="B153" s="241" t="s">
        <v>1474</v>
      </c>
      <c r="C153" s="237" t="s">
        <v>1881</v>
      </c>
      <c r="D153" s="237" t="s">
        <v>1845</v>
      </c>
      <c r="E153" s="242" t="s">
        <v>1882</v>
      </c>
      <c r="F153" s="243" t="s">
        <v>1883</v>
      </c>
      <c r="G153" s="237" t="s">
        <v>1884</v>
      </c>
      <c r="H153" s="237" t="s">
        <v>694</v>
      </c>
      <c r="I153" s="237" t="s">
        <v>1537</v>
      </c>
      <c r="J153" s="238"/>
    </row>
    <row r="154" spans="2:10" x14ac:dyDescent="0.3">
      <c r="B154" s="241" t="s">
        <v>1474</v>
      </c>
      <c r="C154" s="237" t="s">
        <v>1885</v>
      </c>
      <c r="D154" s="237" t="s">
        <v>1845</v>
      </c>
      <c r="E154" s="242" t="s">
        <v>1886</v>
      </c>
      <c r="F154" s="243" t="s">
        <v>1883</v>
      </c>
      <c r="G154" s="237" t="s">
        <v>1887</v>
      </c>
      <c r="H154" s="237" t="s">
        <v>1888</v>
      </c>
      <c r="I154" s="237" t="s">
        <v>1537</v>
      </c>
      <c r="J154" s="238"/>
    </row>
    <row r="155" spans="2:10" x14ac:dyDescent="0.3">
      <c r="B155" s="241" t="s">
        <v>1474</v>
      </c>
      <c r="C155" s="237" t="s">
        <v>1889</v>
      </c>
      <c r="D155" s="237" t="s">
        <v>1845</v>
      </c>
      <c r="E155" s="242" t="s">
        <v>1890</v>
      </c>
      <c r="F155" s="243" t="s">
        <v>1883</v>
      </c>
      <c r="G155" s="237" t="s">
        <v>1884</v>
      </c>
      <c r="H155" s="237" t="s">
        <v>694</v>
      </c>
      <c r="I155" s="237" t="s">
        <v>1537</v>
      </c>
      <c r="J155" s="238"/>
    </row>
    <row r="156" spans="2:10" x14ac:dyDescent="0.3">
      <c r="B156" s="241" t="s">
        <v>1474</v>
      </c>
      <c r="C156" s="237" t="s">
        <v>1891</v>
      </c>
      <c r="D156" s="237" t="s">
        <v>1471</v>
      </c>
      <c r="E156" s="242" t="s">
        <v>1892</v>
      </c>
      <c r="F156" s="243" t="s">
        <v>727</v>
      </c>
      <c r="G156" s="237" t="s">
        <v>979</v>
      </c>
      <c r="H156" s="237" t="s">
        <v>731</v>
      </c>
      <c r="I156" s="237" t="s">
        <v>1511</v>
      </c>
      <c r="J156" s="238"/>
    </row>
    <row r="157" spans="2:10" x14ac:dyDescent="0.3">
      <c r="B157" s="241" t="s">
        <v>1474</v>
      </c>
      <c r="C157" s="237" t="s">
        <v>1893</v>
      </c>
      <c r="D157" s="237" t="s">
        <v>1471</v>
      </c>
      <c r="E157" s="242" t="s">
        <v>1894</v>
      </c>
      <c r="F157" s="243" t="s">
        <v>727</v>
      </c>
      <c r="G157" s="237" t="s">
        <v>747</v>
      </c>
      <c r="H157" s="237" t="s">
        <v>731</v>
      </c>
      <c r="I157" s="237" t="s">
        <v>1473</v>
      </c>
      <c r="J157" s="238"/>
    </row>
    <row r="158" spans="2:10" x14ac:dyDescent="0.3">
      <c r="B158" s="241" t="s">
        <v>1474</v>
      </c>
      <c r="C158" s="237" t="s">
        <v>1895</v>
      </c>
      <c r="D158" s="237" t="s">
        <v>1471</v>
      </c>
      <c r="E158" s="242" t="s">
        <v>1896</v>
      </c>
      <c r="F158" s="243" t="s">
        <v>727</v>
      </c>
      <c r="G158" s="237" t="s">
        <v>1397</v>
      </c>
      <c r="H158" s="237" t="s">
        <v>704</v>
      </c>
      <c r="I158" s="237" t="s">
        <v>1511</v>
      </c>
      <c r="J158" s="238"/>
    </row>
    <row r="159" spans="2:10" x14ac:dyDescent="0.3">
      <c r="B159" s="241" t="s">
        <v>1474</v>
      </c>
      <c r="C159" s="237" t="s">
        <v>1897</v>
      </c>
      <c r="D159" s="237" t="s">
        <v>1471</v>
      </c>
      <c r="E159" s="242" t="s">
        <v>1898</v>
      </c>
      <c r="F159" s="243" t="s">
        <v>727</v>
      </c>
      <c r="G159" s="237" t="s">
        <v>988</v>
      </c>
      <c r="H159" s="237" t="s">
        <v>731</v>
      </c>
      <c r="I159" s="237" t="s">
        <v>1473</v>
      </c>
      <c r="J159" s="238"/>
    </row>
    <row r="160" spans="2:10" ht="24" x14ac:dyDescent="0.3">
      <c r="B160" s="241" t="s">
        <v>1474</v>
      </c>
      <c r="C160" s="237" t="s">
        <v>1899</v>
      </c>
      <c r="D160" s="237" t="s">
        <v>1479</v>
      </c>
      <c r="E160" s="242" t="s">
        <v>1900</v>
      </c>
      <c r="F160" s="243" t="s">
        <v>786</v>
      </c>
      <c r="G160" s="237" t="s">
        <v>979</v>
      </c>
      <c r="H160" s="237" t="s">
        <v>694</v>
      </c>
      <c r="I160" s="237" t="s">
        <v>1537</v>
      </c>
      <c r="J160" s="238"/>
    </row>
    <row r="161" spans="2:10" ht="24" x14ac:dyDescent="0.3">
      <c r="B161" s="241" t="s">
        <v>1474</v>
      </c>
      <c r="C161" s="237" t="s">
        <v>1901</v>
      </c>
      <c r="D161" s="237" t="s">
        <v>1479</v>
      </c>
      <c r="E161" s="242" t="s">
        <v>1902</v>
      </c>
      <c r="F161" s="243" t="s">
        <v>786</v>
      </c>
      <c r="G161" s="237" t="s">
        <v>747</v>
      </c>
      <c r="H161" s="237" t="s">
        <v>694</v>
      </c>
      <c r="I161" s="237" t="s">
        <v>1473</v>
      </c>
      <c r="J161" s="238"/>
    </row>
    <row r="162" spans="2:10" ht="24" x14ac:dyDescent="0.3">
      <c r="B162" s="241" t="s">
        <v>1474</v>
      </c>
      <c r="C162" s="237" t="s">
        <v>1903</v>
      </c>
      <c r="D162" s="237" t="s">
        <v>1012</v>
      </c>
      <c r="E162" s="242" t="s">
        <v>1904</v>
      </c>
      <c r="F162" s="243" t="s">
        <v>710</v>
      </c>
      <c r="G162" s="237" t="s">
        <v>537</v>
      </c>
      <c r="H162" s="237" t="s">
        <v>765</v>
      </c>
      <c r="I162" s="237" t="s">
        <v>1505</v>
      </c>
      <c r="J162" s="238"/>
    </row>
    <row r="163" spans="2:10" ht="24" x14ac:dyDescent="0.3">
      <c r="B163" s="241" t="s">
        <v>1474</v>
      </c>
      <c r="C163" s="237" t="s">
        <v>1905</v>
      </c>
      <c r="D163" s="237" t="s">
        <v>1012</v>
      </c>
      <c r="E163" s="242" t="s">
        <v>1906</v>
      </c>
      <c r="F163" s="243" t="s">
        <v>710</v>
      </c>
      <c r="G163" s="237" t="s">
        <v>1490</v>
      </c>
      <c r="H163" s="237" t="s">
        <v>638</v>
      </c>
      <c r="I163" s="237" t="s">
        <v>1511</v>
      </c>
      <c r="J163" s="238"/>
    </row>
    <row r="164" spans="2:10" ht="24" x14ac:dyDescent="0.3">
      <c r="B164" s="241" t="s">
        <v>1474</v>
      </c>
      <c r="C164" s="237" t="s">
        <v>1907</v>
      </c>
      <c r="D164" s="237" t="s">
        <v>1617</v>
      </c>
      <c r="E164" s="242" t="s">
        <v>1908</v>
      </c>
      <c r="F164" s="243" t="s">
        <v>786</v>
      </c>
      <c r="G164" s="237" t="s">
        <v>1884</v>
      </c>
      <c r="H164" s="237" t="s">
        <v>738</v>
      </c>
      <c r="I164" s="237" t="s">
        <v>1537</v>
      </c>
      <c r="J164" s="238"/>
    </row>
    <row r="165" spans="2:10" ht="24" x14ac:dyDescent="0.3">
      <c r="B165" s="241" t="s">
        <v>1474</v>
      </c>
      <c r="C165" s="237" t="s">
        <v>1909</v>
      </c>
      <c r="D165" s="237" t="s">
        <v>1617</v>
      </c>
      <c r="E165" s="242" t="s">
        <v>1910</v>
      </c>
      <c r="F165" s="243" t="s">
        <v>786</v>
      </c>
      <c r="G165" s="237" t="s">
        <v>1884</v>
      </c>
      <c r="H165" s="237" t="s">
        <v>738</v>
      </c>
      <c r="I165" s="237" t="s">
        <v>1473</v>
      </c>
      <c r="J165" s="238"/>
    </row>
    <row r="166" spans="2:10" ht="24" x14ac:dyDescent="0.3">
      <c r="B166" s="241" t="s">
        <v>1474</v>
      </c>
      <c r="C166" s="237" t="s">
        <v>1911</v>
      </c>
      <c r="D166" s="237" t="s">
        <v>1617</v>
      </c>
      <c r="E166" s="242" t="s">
        <v>1912</v>
      </c>
      <c r="F166" s="243" t="s">
        <v>710</v>
      </c>
      <c r="G166" s="237" t="s">
        <v>747</v>
      </c>
      <c r="H166" s="237" t="s">
        <v>738</v>
      </c>
      <c r="I166" s="237" t="s">
        <v>1537</v>
      </c>
      <c r="J166" s="238"/>
    </row>
    <row r="167" spans="2:10" x14ac:dyDescent="0.3">
      <c r="B167" s="241" t="s">
        <v>1474</v>
      </c>
      <c r="C167" s="237" t="s">
        <v>1913</v>
      </c>
      <c r="D167" s="237" t="s">
        <v>1471</v>
      </c>
      <c r="E167" s="242" t="s">
        <v>1898</v>
      </c>
      <c r="F167" s="243" t="s">
        <v>727</v>
      </c>
      <c r="G167" s="237" t="s">
        <v>988</v>
      </c>
      <c r="H167" s="237" t="s">
        <v>731</v>
      </c>
      <c r="I167" s="237" t="s">
        <v>1511</v>
      </c>
      <c r="J167" s="238"/>
    </row>
    <row r="168" spans="2:10" x14ac:dyDescent="0.3">
      <c r="B168" s="241" t="s">
        <v>1474</v>
      </c>
      <c r="C168" s="237" t="s">
        <v>1914</v>
      </c>
      <c r="D168" s="237" t="s">
        <v>1471</v>
      </c>
      <c r="E168" s="242" t="s">
        <v>1915</v>
      </c>
      <c r="F168" s="243" t="s">
        <v>1006</v>
      </c>
      <c r="G168" s="237" t="s">
        <v>1490</v>
      </c>
      <c r="H168" s="237" t="s">
        <v>704</v>
      </c>
      <c r="I168" s="237" t="s">
        <v>1511</v>
      </c>
      <c r="J168" s="238"/>
    </row>
    <row r="169" spans="2:10" x14ac:dyDescent="0.3">
      <c r="B169" s="241" t="s">
        <v>1474</v>
      </c>
      <c r="C169" s="237" t="s">
        <v>1916</v>
      </c>
      <c r="D169" s="237" t="s">
        <v>1471</v>
      </c>
      <c r="E169" s="242" t="s">
        <v>1917</v>
      </c>
      <c r="F169" s="243" t="s">
        <v>1006</v>
      </c>
      <c r="G169" s="237" t="s">
        <v>1009</v>
      </c>
      <c r="H169" s="237" t="s">
        <v>731</v>
      </c>
      <c r="I169" s="237" t="s">
        <v>1537</v>
      </c>
      <c r="J169" s="238"/>
    </row>
    <row r="170" spans="2:10" ht="24" x14ac:dyDescent="0.3">
      <c r="B170" s="241" t="s">
        <v>1474</v>
      </c>
      <c r="C170" s="237" t="s">
        <v>1918</v>
      </c>
      <c r="D170" s="237" t="s">
        <v>1479</v>
      </c>
      <c r="E170" s="242" t="s">
        <v>1919</v>
      </c>
      <c r="F170" s="243" t="s">
        <v>786</v>
      </c>
      <c r="G170" s="237" t="s">
        <v>747</v>
      </c>
      <c r="H170" s="237" t="s">
        <v>738</v>
      </c>
      <c r="I170" s="237" t="s">
        <v>1505</v>
      </c>
      <c r="J170" s="238"/>
    </row>
    <row r="171" spans="2:10" ht="24" x14ac:dyDescent="0.3">
      <c r="B171" s="241" t="s">
        <v>1474</v>
      </c>
      <c r="C171" s="237" t="s">
        <v>1920</v>
      </c>
      <c r="D171" s="237" t="s">
        <v>1471</v>
      </c>
      <c r="E171" s="242" t="s">
        <v>1921</v>
      </c>
      <c r="F171" s="243" t="s">
        <v>786</v>
      </c>
      <c r="G171" s="239" t="s">
        <v>1514</v>
      </c>
      <c r="H171" s="239" t="s">
        <v>1922</v>
      </c>
      <c r="I171" s="237" t="s">
        <v>1511</v>
      </c>
      <c r="J171" s="238"/>
    </row>
    <row r="172" spans="2:10" x14ac:dyDescent="0.3">
      <c r="B172" s="241" t="s">
        <v>1474</v>
      </c>
      <c r="C172" s="237" t="s">
        <v>1923</v>
      </c>
      <c r="D172" s="237" t="s">
        <v>1471</v>
      </c>
      <c r="E172" s="242" t="s">
        <v>1924</v>
      </c>
      <c r="F172" s="243" t="s">
        <v>645</v>
      </c>
      <c r="G172" s="237" t="s">
        <v>1925</v>
      </c>
      <c r="H172" s="237" t="s">
        <v>1926</v>
      </c>
      <c r="I172" s="237" t="s">
        <v>506</v>
      </c>
      <c r="J172" s="238"/>
    </row>
    <row r="173" spans="2:10" ht="24" x14ac:dyDescent="0.3">
      <c r="B173" s="241" t="s">
        <v>1474</v>
      </c>
      <c r="C173" s="237" t="s">
        <v>1927</v>
      </c>
      <c r="D173" s="237" t="s">
        <v>1471</v>
      </c>
      <c r="E173" s="242" t="s">
        <v>1928</v>
      </c>
      <c r="F173" s="243" t="s">
        <v>1690</v>
      </c>
      <c r="G173" s="237" t="s">
        <v>1929</v>
      </c>
      <c r="H173" s="237" t="s">
        <v>514</v>
      </c>
      <c r="I173" s="237" t="s">
        <v>515</v>
      </c>
      <c r="J173" s="238"/>
    </row>
    <row r="174" spans="2:10" x14ac:dyDescent="0.3">
      <c r="B174" s="241" t="s">
        <v>1474</v>
      </c>
      <c r="C174" s="237" t="s">
        <v>1930</v>
      </c>
      <c r="D174" s="237" t="s">
        <v>1471</v>
      </c>
      <c r="E174" s="242" t="s">
        <v>1931</v>
      </c>
      <c r="F174" s="243" t="s">
        <v>1932</v>
      </c>
      <c r="G174" s="237" t="s">
        <v>1397</v>
      </c>
      <c r="H174" s="237" t="s">
        <v>1687</v>
      </c>
      <c r="I174" s="237" t="s">
        <v>1740</v>
      </c>
      <c r="J174" s="238"/>
    </row>
    <row r="175" spans="2:10" x14ac:dyDescent="0.3">
      <c r="B175" s="241" t="s">
        <v>1474</v>
      </c>
      <c r="C175" s="237" t="s">
        <v>1933</v>
      </c>
      <c r="D175" s="237" t="s">
        <v>1471</v>
      </c>
      <c r="E175" s="242" t="s">
        <v>1934</v>
      </c>
      <c r="F175" s="243" t="s">
        <v>1935</v>
      </c>
      <c r="G175" s="237" t="s">
        <v>1936</v>
      </c>
      <c r="H175" s="237" t="s">
        <v>1926</v>
      </c>
      <c r="I175" s="237" t="s">
        <v>506</v>
      </c>
      <c r="J175" s="238"/>
    </row>
    <row r="176" spans="2:10" x14ac:dyDescent="0.3">
      <c r="B176" s="241" t="s">
        <v>1474</v>
      </c>
      <c r="C176" s="237" t="s">
        <v>1937</v>
      </c>
      <c r="D176" s="237" t="s">
        <v>1061</v>
      </c>
      <c r="E176" s="242" t="s">
        <v>1938</v>
      </c>
      <c r="F176" s="243" t="s">
        <v>1939</v>
      </c>
      <c r="G176" s="237" t="s">
        <v>1936</v>
      </c>
      <c r="H176" s="237" t="s">
        <v>1926</v>
      </c>
      <c r="I176" s="237" t="s">
        <v>1940</v>
      </c>
      <c r="J176" s="238"/>
    </row>
    <row r="177" spans="2:10" ht="24" x14ac:dyDescent="0.3">
      <c r="B177" s="241" t="s">
        <v>1474</v>
      </c>
      <c r="C177" s="237" t="s">
        <v>1941</v>
      </c>
      <c r="D177" s="237" t="s">
        <v>1942</v>
      </c>
      <c r="E177" s="242" t="s">
        <v>1943</v>
      </c>
      <c r="F177" s="243" t="s">
        <v>1693</v>
      </c>
      <c r="G177" s="237" t="s">
        <v>1944</v>
      </c>
      <c r="H177" s="237" t="s">
        <v>722</v>
      </c>
      <c r="I177" s="237" t="s">
        <v>526</v>
      </c>
      <c r="J177" s="238"/>
    </row>
    <row r="178" spans="2:10" ht="24" x14ac:dyDescent="0.3">
      <c r="B178" s="241" t="s">
        <v>1474</v>
      </c>
      <c r="C178" s="237" t="s">
        <v>1945</v>
      </c>
      <c r="D178" s="237" t="s">
        <v>1479</v>
      </c>
      <c r="E178" s="242" t="s">
        <v>1946</v>
      </c>
      <c r="F178" s="243" t="s">
        <v>1485</v>
      </c>
      <c r="G178" s="237" t="s">
        <v>1389</v>
      </c>
      <c r="H178" s="237" t="s">
        <v>722</v>
      </c>
      <c r="I178" s="237" t="s">
        <v>506</v>
      </c>
      <c r="J178" s="238"/>
    </row>
    <row r="179" spans="2:10" ht="24" x14ac:dyDescent="0.3">
      <c r="B179" s="241" t="s">
        <v>1474</v>
      </c>
      <c r="C179" s="237" t="s">
        <v>1947</v>
      </c>
      <c r="D179" s="237" t="s">
        <v>1471</v>
      </c>
      <c r="E179" s="242" t="s">
        <v>1948</v>
      </c>
      <c r="F179" s="243" t="s">
        <v>603</v>
      </c>
      <c r="G179" s="237" t="s">
        <v>1949</v>
      </c>
      <c r="H179" s="237" t="s">
        <v>682</v>
      </c>
      <c r="I179" s="237" t="s">
        <v>1477</v>
      </c>
      <c r="J179" s="238"/>
    </row>
    <row r="180" spans="2:10" ht="24" x14ac:dyDescent="0.3">
      <c r="B180" s="241" t="s">
        <v>1474</v>
      </c>
      <c r="C180" s="237" t="s">
        <v>1950</v>
      </c>
      <c r="D180" s="237" t="s">
        <v>1471</v>
      </c>
      <c r="E180" s="242" t="s">
        <v>1948</v>
      </c>
      <c r="F180" s="243" t="s">
        <v>603</v>
      </c>
      <c r="G180" s="237" t="s">
        <v>1949</v>
      </c>
      <c r="H180" s="237" t="s">
        <v>682</v>
      </c>
      <c r="I180" s="237" t="s">
        <v>1477</v>
      </c>
      <c r="J180" s="238"/>
    </row>
    <row r="181" spans="2:10" ht="24" x14ac:dyDescent="0.3">
      <c r="B181" s="241" t="s">
        <v>1474</v>
      </c>
      <c r="C181" s="237" t="s">
        <v>1951</v>
      </c>
      <c r="D181" s="237" t="s">
        <v>1471</v>
      </c>
      <c r="E181" s="242" t="s">
        <v>1952</v>
      </c>
      <c r="F181" s="243" t="s">
        <v>1481</v>
      </c>
      <c r="G181" s="237" t="s">
        <v>1664</v>
      </c>
      <c r="H181" s="237" t="s">
        <v>514</v>
      </c>
      <c r="I181" s="237" t="s">
        <v>1473</v>
      </c>
      <c r="J181" s="238"/>
    </row>
    <row r="182" spans="2:10" ht="24" x14ac:dyDescent="0.3">
      <c r="B182" s="241" t="s">
        <v>1474</v>
      </c>
      <c r="C182" s="237" t="s">
        <v>1953</v>
      </c>
      <c r="D182" s="237" t="s">
        <v>1617</v>
      </c>
      <c r="E182" s="242" t="s">
        <v>1954</v>
      </c>
      <c r="F182" s="243" t="s">
        <v>1955</v>
      </c>
      <c r="G182" s="237" t="s">
        <v>1956</v>
      </c>
      <c r="H182" s="237" t="s">
        <v>722</v>
      </c>
      <c r="I182" s="237" t="s">
        <v>629</v>
      </c>
      <c r="J182" s="238"/>
    </row>
    <row r="183" spans="2:10" ht="24" x14ac:dyDescent="0.3">
      <c r="B183" s="241" t="s">
        <v>1474</v>
      </c>
      <c r="C183" s="237" t="s">
        <v>1957</v>
      </c>
      <c r="D183" s="237" t="s">
        <v>1471</v>
      </c>
      <c r="E183" s="242" t="s">
        <v>1958</v>
      </c>
      <c r="F183" s="243" t="s">
        <v>786</v>
      </c>
      <c r="G183" s="237" t="s">
        <v>1664</v>
      </c>
      <c r="H183" s="237" t="s">
        <v>514</v>
      </c>
      <c r="I183" s="237" t="s">
        <v>1473</v>
      </c>
      <c r="J183" s="238"/>
    </row>
    <row r="184" spans="2:10" ht="24" x14ac:dyDescent="0.3">
      <c r="B184" s="241" t="s">
        <v>1959</v>
      </c>
      <c r="C184" s="237" t="s">
        <v>1960</v>
      </c>
      <c r="D184" s="237" t="s">
        <v>1061</v>
      </c>
      <c r="E184" s="242" t="s">
        <v>1961</v>
      </c>
      <c r="F184" s="243" t="s">
        <v>595</v>
      </c>
      <c r="G184" s="237" t="s">
        <v>1699</v>
      </c>
      <c r="H184" s="237" t="s">
        <v>1962</v>
      </c>
      <c r="I184" s="237" t="s">
        <v>526</v>
      </c>
      <c r="J184" s="238"/>
    </row>
    <row r="185" spans="2:10" ht="24" x14ac:dyDescent="0.3">
      <c r="B185" s="241" t="s">
        <v>1959</v>
      </c>
      <c r="C185" s="237" t="s">
        <v>1963</v>
      </c>
      <c r="D185" s="237" t="s">
        <v>1479</v>
      </c>
      <c r="E185" s="242" t="s">
        <v>1964</v>
      </c>
      <c r="F185" s="243" t="s">
        <v>595</v>
      </c>
      <c r="G185" s="237" t="s">
        <v>524</v>
      </c>
      <c r="H185" s="237" t="s">
        <v>1965</v>
      </c>
      <c r="I185" s="237" t="s">
        <v>591</v>
      </c>
      <c r="J185" s="238"/>
    </row>
    <row r="186" spans="2:10" ht="24" x14ac:dyDescent="0.3">
      <c r="B186" s="241" t="s">
        <v>1959</v>
      </c>
      <c r="C186" s="237" t="s">
        <v>1966</v>
      </c>
      <c r="D186" s="237" t="s">
        <v>1967</v>
      </c>
      <c r="E186" s="242" t="s">
        <v>1968</v>
      </c>
      <c r="F186" s="243" t="s">
        <v>1969</v>
      </c>
      <c r="G186" s="237" t="s">
        <v>524</v>
      </c>
      <c r="H186" s="237" t="s">
        <v>525</v>
      </c>
      <c r="I186" s="237" t="s">
        <v>526</v>
      </c>
      <c r="J186" s="238"/>
    </row>
    <row r="187" spans="2:10" ht="24" x14ac:dyDescent="0.3">
      <c r="B187" s="241" t="s">
        <v>1959</v>
      </c>
      <c r="C187" s="237" t="s">
        <v>1970</v>
      </c>
      <c r="D187" s="237" t="s">
        <v>1479</v>
      </c>
      <c r="E187" s="242" t="s">
        <v>1476</v>
      </c>
      <c r="F187" s="243" t="s">
        <v>619</v>
      </c>
      <c r="G187" s="237" t="s">
        <v>524</v>
      </c>
      <c r="H187" s="237" t="s">
        <v>643</v>
      </c>
      <c r="I187" s="237" t="s">
        <v>591</v>
      </c>
      <c r="J187" s="238"/>
    </row>
    <row r="188" spans="2:10" x14ac:dyDescent="0.3">
      <c r="B188" s="241" t="s">
        <v>1959</v>
      </c>
      <c r="C188" s="237" t="s">
        <v>1971</v>
      </c>
      <c r="D188" s="237" t="s">
        <v>1471</v>
      </c>
      <c r="E188" s="242" t="s">
        <v>589</v>
      </c>
      <c r="F188" s="243" t="s">
        <v>1972</v>
      </c>
      <c r="G188" s="237" t="s">
        <v>537</v>
      </c>
      <c r="H188" s="237" t="s">
        <v>525</v>
      </c>
      <c r="I188" s="237" t="s">
        <v>591</v>
      </c>
      <c r="J188" s="238"/>
    </row>
    <row r="189" spans="2:10" x14ac:dyDescent="0.3">
      <c r="B189" s="241" t="s">
        <v>1959</v>
      </c>
      <c r="C189" s="237" t="s">
        <v>1973</v>
      </c>
      <c r="D189" s="237" t="s">
        <v>1471</v>
      </c>
      <c r="E189" s="242" t="s">
        <v>1472</v>
      </c>
      <c r="F189" s="243" t="s">
        <v>1974</v>
      </c>
      <c r="G189" s="237" t="s">
        <v>995</v>
      </c>
      <c r="H189" s="237" t="s">
        <v>638</v>
      </c>
      <c r="I189" s="237" t="s">
        <v>1473</v>
      </c>
      <c r="J189" s="238"/>
    </row>
    <row r="190" spans="2:10" x14ac:dyDescent="0.3">
      <c r="B190" s="241" t="s">
        <v>1959</v>
      </c>
      <c r="C190" s="237" t="s">
        <v>1975</v>
      </c>
      <c r="D190" s="237" t="s">
        <v>1471</v>
      </c>
      <c r="E190" s="242" t="s">
        <v>1487</v>
      </c>
      <c r="F190" s="243" t="s">
        <v>634</v>
      </c>
      <c r="G190" s="237" t="s">
        <v>1397</v>
      </c>
      <c r="H190" s="237" t="s">
        <v>638</v>
      </c>
      <c r="I190" s="237" t="s">
        <v>1473</v>
      </c>
      <c r="J190" s="238"/>
    </row>
    <row r="191" spans="2:10" x14ac:dyDescent="0.3">
      <c r="B191" s="241" t="s">
        <v>1959</v>
      </c>
      <c r="C191" s="237" t="s">
        <v>1976</v>
      </c>
      <c r="D191" s="237" t="s">
        <v>1479</v>
      </c>
      <c r="E191" s="242" t="s">
        <v>1977</v>
      </c>
      <c r="F191" s="243" t="s">
        <v>1978</v>
      </c>
      <c r="G191" s="237" t="s">
        <v>537</v>
      </c>
      <c r="H191" s="237" t="s">
        <v>482</v>
      </c>
      <c r="I191" s="237" t="s">
        <v>629</v>
      </c>
      <c r="J191" s="238"/>
    </row>
    <row r="192" spans="2:10" ht="24" x14ac:dyDescent="0.3">
      <c r="B192" s="241" t="s">
        <v>1959</v>
      </c>
      <c r="C192" s="237" t="s">
        <v>1979</v>
      </c>
      <c r="D192" s="237" t="s">
        <v>1479</v>
      </c>
      <c r="E192" s="242" t="s">
        <v>1980</v>
      </c>
      <c r="F192" s="243" t="s">
        <v>619</v>
      </c>
      <c r="G192" s="237" t="s">
        <v>524</v>
      </c>
      <c r="H192" s="237" t="s">
        <v>643</v>
      </c>
      <c r="I192" s="237" t="s">
        <v>591</v>
      </c>
      <c r="J192" s="238"/>
    </row>
    <row r="193" spans="2:10" x14ac:dyDescent="0.3">
      <c r="B193" s="241" t="s">
        <v>1959</v>
      </c>
      <c r="C193" s="237" t="s">
        <v>1981</v>
      </c>
      <c r="D193" s="237" t="s">
        <v>1471</v>
      </c>
      <c r="E193" s="242" t="s">
        <v>1489</v>
      </c>
      <c r="F193" s="243" t="s">
        <v>1974</v>
      </c>
      <c r="G193" s="237" t="s">
        <v>1490</v>
      </c>
      <c r="H193" s="237" t="s">
        <v>638</v>
      </c>
      <c r="I193" s="237" t="s">
        <v>1473</v>
      </c>
      <c r="J193" s="238"/>
    </row>
    <row r="194" spans="2:10" x14ac:dyDescent="0.3">
      <c r="B194" s="241" t="s">
        <v>1959</v>
      </c>
      <c r="C194" s="237" t="s">
        <v>1982</v>
      </c>
      <c r="D194" s="237" t="s">
        <v>1471</v>
      </c>
      <c r="E194" s="242" t="s">
        <v>1983</v>
      </c>
      <c r="F194" s="243" t="s">
        <v>1984</v>
      </c>
      <c r="G194" s="237" t="s">
        <v>1699</v>
      </c>
      <c r="H194" s="237" t="s">
        <v>482</v>
      </c>
      <c r="I194" s="237" t="s">
        <v>1473</v>
      </c>
      <c r="J194" s="238"/>
    </row>
    <row r="195" spans="2:10" x14ac:dyDescent="0.3">
      <c r="B195" s="241" t="s">
        <v>1959</v>
      </c>
      <c r="C195" s="237" t="s">
        <v>1985</v>
      </c>
      <c r="D195" s="237" t="s">
        <v>1986</v>
      </c>
      <c r="E195" s="242" t="s">
        <v>1987</v>
      </c>
      <c r="F195" s="243" t="s">
        <v>1988</v>
      </c>
      <c r="G195" s="237" t="s">
        <v>1840</v>
      </c>
      <c r="H195" s="237" t="s">
        <v>494</v>
      </c>
      <c r="I195" s="237" t="s">
        <v>1748</v>
      </c>
      <c r="J195" s="238"/>
    </row>
    <row r="196" spans="2:10" ht="24" x14ac:dyDescent="0.3">
      <c r="B196" s="241" t="s">
        <v>1959</v>
      </c>
      <c r="C196" s="237" t="s">
        <v>1989</v>
      </c>
      <c r="D196" s="237" t="s">
        <v>1479</v>
      </c>
      <c r="E196" s="242" t="s">
        <v>1476</v>
      </c>
      <c r="F196" s="243" t="s">
        <v>619</v>
      </c>
      <c r="G196" s="237" t="s">
        <v>524</v>
      </c>
      <c r="H196" s="237" t="s">
        <v>1990</v>
      </c>
      <c r="I196" s="237" t="s">
        <v>1473</v>
      </c>
      <c r="J196" s="238"/>
    </row>
    <row r="197" spans="2:10" x14ac:dyDescent="0.3">
      <c r="B197" s="241" t="s">
        <v>1959</v>
      </c>
      <c r="C197" s="237" t="s">
        <v>1991</v>
      </c>
      <c r="D197" s="237" t="s">
        <v>1471</v>
      </c>
      <c r="E197" s="242" t="s">
        <v>1492</v>
      </c>
      <c r="F197" s="243" t="s">
        <v>1493</v>
      </c>
      <c r="G197" s="237" t="s">
        <v>537</v>
      </c>
      <c r="H197" s="237" t="s">
        <v>1992</v>
      </c>
      <c r="I197" s="237" t="s">
        <v>1473</v>
      </c>
      <c r="J197" s="238"/>
    </row>
    <row r="198" spans="2:10" x14ac:dyDescent="0.3">
      <c r="B198" s="241" t="s">
        <v>1959</v>
      </c>
      <c r="C198" s="237" t="s">
        <v>1993</v>
      </c>
      <c r="D198" s="237" t="s">
        <v>1471</v>
      </c>
      <c r="E198" s="242" t="s">
        <v>1496</v>
      </c>
      <c r="F198" s="243" t="s">
        <v>1994</v>
      </c>
      <c r="G198" s="237" t="s">
        <v>524</v>
      </c>
      <c r="H198" s="237" t="s">
        <v>1992</v>
      </c>
      <c r="I198" s="237" t="s">
        <v>1473</v>
      </c>
      <c r="J198" s="238"/>
    </row>
    <row r="199" spans="2:10" x14ac:dyDescent="0.3">
      <c r="B199" s="241" t="s">
        <v>1959</v>
      </c>
      <c r="C199" s="237" t="s">
        <v>1995</v>
      </c>
      <c r="D199" s="237" t="s">
        <v>1471</v>
      </c>
      <c r="E199" s="242" t="s">
        <v>1472</v>
      </c>
      <c r="F199" s="243" t="s">
        <v>634</v>
      </c>
      <c r="G199" s="237" t="s">
        <v>995</v>
      </c>
      <c r="H199" s="237" t="s">
        <v>638</v>
      </c>
      <c r="I199" s="237" t="s">
        <v>1473</v>
      </c>
      <c r="J199" s="238"/>
    </row>
    <row r="200" spans="2:10" x14ac:dyDescent="0.3">
      <c r="B200" s="241" t="s">
        <v>1959</v>
      </c>
      <c r="C200" s="237" t="s">
        <v>1996</v>
      </c>
      <c r="D200" s="237" t="s">
        <v>1471</v>
      </c>
      <c r="E200" s="242" t="s">
        <v>1539</v>
      </c>
      <c r="F200" s="243" t="s">
        <v>1997</v>
      </c>
      <c r="G200" s="237" t="s">
        <v>995</v>
      </c>
      <c r="H200" s="237" t="s">
        <v>1998</v>
      </c>
      <c r="I200" s="237" t="s">
        <v>1537</v>
      </c>
      <c r="J200" s="238"/>
    </row>
    <row r="201" spans="2:10" ht="24" x14ac:dyDescent="0.3">
      <c r="B201" s="241" t="s">
        <v>1959</v>
      </c>
      <c r="C201" s="237" t="s">
        <v>1999</v>
      </c>
      <c r="D201" s="237" t="s">
        <v>1479</v>
      </c>
      <c r="E201" s="242" t="s">
        <v>2000</v>
      </c>
      <c r="F201" s="243" t="s">
        <v>689</v>
      </c>
      <c r="G201" s="237" t="s">
        <v>747</v>
      </c>
      <c r="H201" s="237" t="s">
        <v>694</v>
      </c>
      <c r="I201" s="237" t="s">
        <v>1473</v>
      </c>
      <c r="J201" s="238"/>
    </row>
    <row r="202" spans="2:10" x14ac:dyDescent="0.3">
      <c r="B202" s="241" t="s">
        <v>1959</v>
      </c>
      <c r="C202" s="237" t="s">
        <v>2001</v>
      </c>
      <c r="D202" s="237" t="s">
        <v>1471</v>
      </c>
      <c r="E202" s="242" t="s">
        <v>1499</v>
      </c>
      <c r="F202" s="243" t="s">
        <v>1997</v>
      </c>
      <c r="G202" s="237" t="s">
        <v>1397</v>
      </c>
      <c r="H202" s="237" t="s">
        <v>638</v>
      </c>
      <c r="I202" s="237" t="s">
        <v>1537</v>
      </c>
      <c r="J202" s="238"/>
    </row>
    <row r="203" spans="2:10" ht="24" x14ac:dyDescent="0.3">
      <c r="B203" s="241" t="s">
        <v>1959</v>
      </c>
      <c r="C203" s="237" t="s">
        <v>2002</v>
      </c>
      <c r="D203" s="237" t="s">
        <v>1479</v>
      </c>
      <c r="E203" s="242" t="s">
        <v>1480</v>
      </c>
      <c r="F203" s="243" t="s">
        <v>2003</v>
      </c>
      <c r="G203" s="237" t="s">
        <v>1840</v>
      </c>
      <c r="H203" s="237" t="s">
        <v>643</v>
      </c>
      <c r="I203" s="237" t="s">
        <v>1473</v>
      </c>
      <c r="J203" s="238"/>
    </row>
    <row r="204" spans="2:10" x14ac:dyDescent="0.3">
      <c r="B204" s="241" t="s">
        <v>1959</v>
      </c>
      <c r="C204" s="237" t="s">
        <v>2004</v>
      </c>
      <c r="D204" s="237" t="s">
        <v>1471</v>
      </c>
      <c r="E204" s="242" t="s">
        <v>1489</v>
      </c>
      <c r="F204" s="243" t="s">
        <v>1974</v>
      </c>
      <c r="G204" s="237" t="s">
        <v>1490</v>
      </c>
      <c r="H204" s="237" t="s">
        <v>638</v>
      </c>
      <c r="I204" s="237" t="s">
        <v>1473</v>
      </c>
      <c r="J204" s="238"/>
    </row>
    <row r="205" spans="2:10" x14ac:dyDescent="0.3">
      <c r="B205" s="241" t="s">
        <v>1959</v>
      </c>
      <c r="C205" s="237" t="s">
        <v>2005</v>
      </c>
      <c r="D205" s="237" t="s">
        <v>1471</v>
      </c>
      <c r="E205" s="242" t="s">
        <v>1539</v>
      </c>
      <c r="F205" s="243" t="s">
        <v>1997</v>
      </c>
      <c r="G205" s="237" t="s">
        <v>995</v>
      </c>
      <c r="H205" s="237" t="s">
        <v>638</v>
      </c>
      <c r="I205" s="237" t="s">
        <v>1537</v>
      </c>
      <c r="J205" s="238"/>
    </row>
    <row r="206" spans="2:10" x14ac:dyDescent="0.3">
      <c r="B206" s="241" t="s">
        <v>1959</v>
      </c>
      <c r="C206" s="237" t="s">
        <v>2006</v>
      </c>
      <c r="D206" s="237" t="s">
        <v>1471</v>
      </c>
      <c r="E206" s="242" t="s">
        <v>1522</v>
      </c>
      <c r="F206" s="243" t="s">
        <v>2007</v>
      </c>
      <c r="G206" s="237" t="s">
        <v>988</v>
      </c>
      <c r="H206" s="237" t="s">
        <v>731</v>
      </c>
      <c r="I206" s="237" t="s">
        <v>1511</v>
      </c>
      <c r="J206" s="238"/>
    </row>
    <row r="207" spans="2:10" x14ac:dyDescent="0.3">
      <c r="B207" s="241" t="s">
        <v>1959</v>
      </c>
      <c r="C207" s="237" t="s">
        <v>2008</v>
      </c>
      <c r="D207" s="237" t="s">
        <v>1471</v>
      </c>
      <c r="E207" s="242" t="s">
        <v>1528</v>
      </c>
      <c r="F207" s="243" t="s">
        <v>1006</v>
      </c>
      <c r="G207" s="237" t="s">
        <v>1009</v>
      </c>
      <c r="H207" s="237" t="s">
        <v>731</v>
      </c>
      <c r="I207" s="237" t="s">
        <v>1511</v>
      </c>
      <c r="J207" s="238"/>
    </row>
    <row r="208" spans="2:10" ht="24" x14ac:dyDescent="0.3">
      <c r="B208" s="241" t="s">
        <v>1959</v>
      </c>
      <c r="C208" s="237" t="s">
        <v>2009</v>
      </c>
      <c r="D208" s="237" t="s">
        <v>1479</v>
      </c>
      <c r="E208" s="242" t="s">
        <v>1504</v>
      </c>
      <c r="F208" s="243" t="s">
        <v>852</v>
      </c>
      <c r="G208" s="237" t="s">
        <v>747</v>
      </c>
      <c r="H208" s="237" t="s">
        <v>694</v>
      </c>
      <c r="I208" s="237" t="s">
        <v>1511</v>
      </c>
      <c r="J208" s="238"/>
    </row>
    <row r="209" spans="2:10" x14ac:dyDescent="0.3">
      <c r="B209" s="241" t="s">
        <v>1959</v>
      </c>
      <c r="C209" s="237" t="s">
        <v>2010</v>
      </c>
      <c r="D209" s="237" t="s">
        <v>1471</v>
      </c>
      <c r="E209" s="242" t="s">
        <v>1499</v>
      </c>
      <c r="F209" s="243" t="s">
        <v>673</v>
      </c>
      <c r="G209" s="237" t="s">
        <v>1397</v>
      </c>
      <c r="H209" s="237" t="s">
        <v>638</v>
      </c>
      <c r="I209" s="237" t="s">
        <v>1537</v>
      </c>
      <c r="J209" s="238"/>
    </row>
    <row r="210" spans="2:10" x14ac:dyDescent="0.3">
      <c r="B210" s="241" t="s">
        <v>1959</v>
      </c>
      <c r="C210" s="237" t="s">
        <v>2011</v>
      </c>
      <c r="D210" s="237" t="s">
        <v>1471</v>
      </c>
      <c r="E210" s="242" t="s">
        <v>1526</v>
      </c>
      <c r="F210" s="243" t="s">
        <v>2012</v>
      </c>
      <c r="G210" s="237" t="s">
        <v>1490</v>
      </c>
      <c r="H210" s="237" t="s">
        <v>704</v>
      </c>
      <c r="I210" s="237" t="s">
        <v>1505</v>
      </c>
      <c r="J210" s="238"/>
    </row>
    <row r="211" spans="2:10" ht="24" x14ac:dyDescent="0.3">
      <c r="B211" s="241" t="s">
        <v>1959</v>
      </c>
      <c r="C211" s="237" t="s">
        <v>2013</v>
      </c>
      <c r="D211" s="237" t="s">
        <v>1471</v>
      </c>
      <c r="E211" s="242" t="s">
        <v>2014</v>
      </c>
      <c r="F211" s="243" t="s">
        <v>2015</v>
      </c>
      <c r="G211" s="237" t="s">
        <v>988</v>
      </c>
      <c r="H211" s="237" t="s">
        <v>821</v>
      </c>
      <c r="I211" s="237" t="s">
        <v>1511</v>
      </c>
      <c r="J211" s="238"/>
    </row>
    <row r="212" spans="2:10" ht="24" x14ac:dyDescent="0.3">
      <c r="B212" s="241" t="s">
        <v>1959</v>
      </c>
      <c r="C212" s="237" t="s">
        <v>2016</v>
      </c>
      <c r="D212" s="237" t="s">
        <v>1471</v>
      </c>
      <c r="E212" s="242" t="s">
        <v>1552</v>
      </c>
      <c r="F212" s="243" t="s">
        <v>984</v>
      </c>
      <c r="G212" s="237" t="s">
        <v>988</v>
      </c>
      <c r="H212" s="237" t="s">
        <v>790</v>
      </c>
      <c r="I212" s="237" t="s">
        <v>1511</v>
      </c>
      <c r="J212" s="238"/>
    </row>
    <row r="213" spans="2:10" ht="24" x14ac:dyDescent="0.3">
      <c r="B213" s="241" t="s">
        <v>1959</v>
      </c>
      <c r="C213" s="237" t="s">
        <v>2017</v>
      </c>
      <c r="D213" s="237" t="s">
        <v>1471</v>
      </c>
      <c r="E213" s="242" t="s">
        <v>1517</v>
      </c>
      <c r="F213" s="243" t="s">
        <v>2018</v>
      </c>
      <c r="G213" s="237" t="s">
        <v>988</v>
      </c>
      <c r="H213" s="237" t="s">
        <v>1518</v>
      </c>
      <c r="I213" s="237" t="s">
        <v>1532</v>
      </c>
      <c r="J213" s="238"/>
    </row>
    <row r="214" spans="2:10" ht="24" x14ac:dyDescent="0.3">
      <c r="B214" s="241" t="s">
        <v>1959</v>
      </c>
      <c r="C214" s="237" t="s">
        <v>2019</v>
      </c>
      <c r="D214" s="237" t="s">
        <v>1471</v>
      </c>
      <c r="E214" s="242" t="s">
        <v>1520</v>
      </c>
      <c r="F214" s="243" t="s">
        <v>2015</v>
      </c>
      <c r="G214" s="237" t="s">
        <v>995</v>
      </c>
      <c r="H214" s="237" t="s">
        <v>821</v>
      </c>
      <c r="I214" s="237" t="s">
        <v>1532</v>
      </c>
      <c r="J214" s="238"/>
    </row>
    <row r="215" spans="2:10" ht="24" x14ac:dyDescent="0.3">
      <c r="B215" s="241" t="s">
        <v>1959</v>
      </c>
      <c r="C215" s="237" t="s">
        <v>2020</v>
      </c>
      <c r="D215" s="237" t="s">
        <v>1479</v>
      </c>
      <c r="E215" s="242" t="s">
        <v>1545</v>
      </c>
      <c r="F215" s="243" t="s">
        <v>2021</v>
      </c>
      <c r="G215" s="237" t="s">
        <v>1009</v>
      </c>
      <c r="H215" s="237" t="s">
        <v>863</v>
      </c>
      <c r="I215" s="237" t="s">
        <v>1532</v>
      </c>
      <c r="J215" s="238"/>
    </row>
    <row r="216" spans="2:10" x14ac:dyDescent="0.3">
      <c r="B216" s="241" t="s">
        <v>1959</v>
      </c>
      <c r="C216" s="237" t="s">
        <v>2022</v>
      </c>
      <c r="D216" s="237" t="s">
        <v>1471</v>
      </c>
      <c r="E216" s="242" t="s">
        <v>1557</v>
      </c>
      <c r="F216" s="243" t="s">
        <v>2023</v>
      </c>
      <c r="G216" s="237" t="s">
        <v>995</v>
      </c>
      <c r="H216" s="237" t="s">
        <v>790</v>
      </c>
      <c r="I216" s="237" t="s">
        <v>1532</v>
      </c>
      <c r="J216" s="238"/>
    </row>
    <row r="217" spans="2:10" x14ac:dyDescent="0.3">
      <c r="B217" s="241" t="s">
        <v>1959</v>
      </c>
      <c r="C217" s="237" t="s">
        <v>2024</v>
      </c>
      <c r="D217" s="237" t="s">
        <v>1471</v>
      </c>
      <c r="E217" s="242" t="s">
        <v>1560</v>
      </c>
      <c r="F217" s="243" t="s">
        <v>2023</v>
      </c>
      <c r="G217" s="237" t="s">
        <v>1009</v>
      </c>
      <c r="H217" s="237" t="s">
        <v>821</v>
      </c>
      <c r="I217" s="237" t="s">
        <v>1561</v>
      </c>
      <c r="J217" s="238"/>
    </row>
    <row r="218" spans="2:10" ht="24" x14ac:dyDescent="0.3">
      <c r="B218" s="241" t="s">
        <v>1959</v>
      </c>
      <c r="C218" s="237" t="s">
        <v>2025</v>
      </c>
      <c r="D218" s="237" t="s">
        <v>1471</v>
      </c>
      <c r="E218" s="242" t="s">
        <v>2026</v>
      </c>
      <c r="F218" s="243" t="s">
        <v>976</v>
      </c>
      <c r="G218" s="237" t="s">
        <v>979</v>
      </c>
      <c r="H218" s="237" t="s">
        <v>1591</v>
      </c>
      <c r="I218" s="237" t="s">
        <v>1558</v>
      </c>
      <c r="J218" s="238"/>
    </row>
    <row r="219" spans="2:10" ht="24" x14ac:dyDescent="0.3">
      <c r="B219" s="241" t="s">
        <v>1959</v>
      </c>
      <c r="C219" s="237" t="s">
        <v>2027</v>
      </c>
      <c r="D219" s="237" t="s">
        <v>1471</v>
      </c>
      <c r="E219" s="242" t="s">
        <v>2028</v>
      </c>
      <c r="F219" s="243" t="s">
        <v>976</v>
      </c>
      <c r="G219" s="237" t="s">
        <v>1059</v>
      </c>
      <c r="H219" s="237" t="s">
        <v>1591</v>
      </c>
      <c r="I219" s="237" t="s">
        <v>1561</v>
      </c>
      <c r="J219" s="238"/>
    </row>
    <row r="220" spans="2:10" ht="24" x14ac:dyDescent="0.3">
      <c r="B220" s="241" t="s">
        <v>1959</v>
      </c>
      <c r="C220" s="237" t="s">
        <v>2029</v>
      </c>
      <c r="D220" s="237" t="s">
        <v>1471</v>
      </c>
      <c r="E220" s="242" t="s">
        <v>1573</v>
      </c>
      <c r="F220" s="243" t="s">
        <v>976</v>
      </c>
      <c r="G220" s="237" t="s">
        <v>1009</v>
      </c>
      <c r="H220" s="237" t="s">
        <v>2030</v>
      </c>
      <c r="I220" s="237" t="s">
        <v>1558</v>
      </c>
      <c r="J220" s="238"/>
    </row>
    <row r="221" spans="2:10" ht="24" x14ac:dyDescent="0.3">
      <c r="B221" s="241" t="s">
        <v>1959</v>
      </c>
      <c r="C221" s="237" t="s">
        <v>2031</v>
      </c>
      <c r="D221" s="237" t="s">
        <v>1471</v>
      </c>
      <c r="E221" s="242" t="s">
        <v>1563</v>
      </c>
      <c r="F221" s="243" t="s">
        <v>2032</v>
      </c>
      <c r="G221" s="237" t="s">
        <v>988</v>
      </c>
      <c r="H221" s="237" t="s">
        <v>1518</v>
      </c>
      <c r="I221" s="237" t="s">
        <v>1561</v>
      </c>
      <c r="J221" s="238"/>
    </row>
    <row r="222" spans="2:10" ht="24" x14ac:dyDescent="0.3">
      <c r="B222" s="241" t="s">
        <v>1959</v>
      </c>
      <c r="C222" s="237" t="s">
        <v>2033</v>
      </c>
      <c r="D222" s="237" t="s">
        <v>1471</v>
      </c>
      <c r="E222" s="242" t="s">
        <v>1577</v>
      </c>
      <c r="F222" s="243" t="s">
        <v>2032</v>
      </c>
      <c r="G222" s="239" t="s">
        <v>2034</v>
      </c>
      <c r="H222" s="239" t="s">
        <v>2035</v>
      </c>
      <c r="I222" s="237" t="s">
        <v>1561</v>
      </c>
      <c r="J222" s="238"/>
    </row>
    <row r="223" spans="2:10" x14ac:dyDescent="0.3">
      <c r="B223" s="241" t="s">
        <v>1959</v>
      </c>
      <c r="C223" s="237" t="s">
        <v>2036</v>
      </c>
      <c r="D223" s="237" t="s">
        <v>1471</v>
      </c>
      <c r="E223" s="242" t="s">
        <v>1566</v>
      </c>
      <c r="F223" s="243" t="s">
        <v>2023</v>
      </c>
      <c r="G223" s="237" t="s">
        <v>995</v>
      </c>
      <c r="H223" s="237" t="s">
        <v>790</v>
      </c>
      <c r="I223" s="237" t="s">
        <v>1561</v>
      </c>
      <c r="J223" s="238"/>
    </row>
    <row r="224" spans="2:10" x14ac:dyDescent="0.3">
      <c r="B224" s="241" t="s">
        <v>1959</v>
      </c>
      <c r="C224" s="237" t="s">
        <v>2037</v>
      </c>
      <c r="D224" s="237" t="s">
        <v>1471</v>
      </c>
      <c r="E224" s="242" t="s">
        <v>1580</v>
      </c>
      <c r="F224" s="243" t="s">
        <v>2038</v>
      </c>
      <c r="G224" s="237" t="s">
        <v>970</v>
      </c>
      <c r="H224" s="237" t="s">
        <v>790</v>
      </c>
      <c r="I224" s="237" t="s">
        <v>1561</v>
      </c>
      <c r="J224" s="238"/>
    </row>
    <row r="225" spans="2:10" x14ac:dyDescent="0.3">
      <c r="B225" s="241" t="s">
        <v>1959</v>
      </c>
      <c r="C225" s="237" t="s">
        <v>2039</v>
      </c>
      <c r="D225" s="237" t="s">
        <v>1471</v>
      </c>
      <c r="E225" s="242" t="s">
        <v>1583</v>
      </c>
      <c r="F225" s="243" t="s">
        <v>2040</v>
      </c>
      <c r="G225" s="237" t="s">
        <v>988</v>
      </c>
      <c r="H225" s="237" t="s">
        <v>790</v>
      </c>
      <c r="I225" s="237" t="s">
        <v>1532</v>
      </c>
      <c r="J225" s="238"/>
    </row>
    <row r="226" spans="2:10" ht="24" x14ac:dyDescent="0.3">
      <c r="B226" s="241" t="s">
        <v>1959</v>
      </c>
      <c r="C226" s="237" t="s">
        <v>2041</v>
      </c>
      <c r="D226" s="237" t="s">
        <v>1471</v>
      </c>
      <c r="E226" s="242" t="s">
        <v>1586</v>
      </c>
      <c r="F226" s="243" t="s">
        <v>2042</v>
      </c>
      <c r="G226" s="237" t="s">
        <v>988</v>
      </c>
      <c r="H226" s="237" t="s">
        <v>2043</v>
      </c>
      <c r="I226" s="237" t="s">
        <v>1558</v>
      </c>
      <c r="J226" s="238"/>
    </row>
    <row r="227" spans="2:10" ht="24" x14ac:dyDescent="0.3">
      <c r="B227" s="241" t="s">
        <v>1959</v>
      </c>
      <c r="C227" s="237" t="s">
        <v>2044</v>
      </c>
      <c r="D227" s="237" t="s">
        <v>1471</v>
      </c>
      <c r="E227" s="242" t="s">
        <v>2045</v>
      </c>
      <c r="F227" s="243" t="s">
        <v>2042</v>
      </c>
      <c r="G227" s="239" t="s">
        <v>2034</v>
      </c>
      <c r="H227" s="239" t="s">
        <v>2046</v>
      </c>
      <c r="I227" s="237" t="s">
        <v>1558</v>
      </c>
      <c r="J227" s="238"/>
    </row>
    <row r="228" spans="2:10" ht="24" x14ac:dyDescent="0.3">
      <c r="B228" s="241" t="s">
        <v>1959</v>
      </c>
      <c r="C228" s="237" t="s">
        <v>2047</v>
      </c>
      <c r="D228" s="237" t="s">
        <v>1471</v>
      </c>
      <c r="E228" s="242" t="s">
        <v>1590</v>
      </c>
      <c r="F228" s="243" t="s">
        <v>2048</v>
      </c>
      <c r="G228" s="237" t="s">
        <v>979</v>
      </c>
      <c r="H228" s="237" t="s">
        <v>980</v>
      </c>
      <c r="I228" s="237" t="s">
        <v>1558</v>
      </c>
      <c r="J228" s="238"/>
    </row>
    <row r="229" spans="2:10" ht="24" x14ac:dyDescent="0.3">
      <c r="B229" s="241" t="s">
        <v>1959</v>
      </c>
      <c r="C229" s="237" t="s">
        <v>2049</v>
      </c>
      <c r="D229" s="237" t="s">
        <v>1471</v>
      </c>
      <c r="E229" s="242" t="s">
        <v>1593</v>
      </c>
      <c r="F229" s="243" t="s">
        <v>2048</v>
      </c>
      <c r="G229" s="237" t="s">
        <v>1059</v>
      </c>
      <c r="H229" s="237" t="s">
        <v>980</v>
      </c>
      <c r="I229" s="237" t="s">
        <v>1558</v>
      </c>
      <c r="J229" s="238"/>
    </row>
    <row r="230" spans="2:10" ht="24" x14ac:dyDescent="0.3">
      <c r="B230" s="241" t="s">
        <v>1959</v>
      </c>
      <c r="C230" s="237" t="s">
        <v>2050</v>
      </c>
      <c r="D230" s="237" t="s">
        <v>1471</v>
      </c>
      <c r="E230" s="242" t="s">
        <v>1597</v>
      </c>
      <c r="F230" s="243" t="s">
        <v>2048</v>
      </c>
      <c r="G230" s="237" t="s">
        <v>1009</v>
      </c>
      <c r="H230" s="237" t="s">
        <v>2051</v>
      </c>
      <c r="I230" s="237" t="s">
        <v>1558</v>
      </c>
      <c r="J230" s="238"/>
    </row>
    <row r="231" spans="2:10" x14ac:dyDescent="0.3">
      <c r="B231" s="241" t="s">
        <v>1959</v>
      </c>
      <c r="C231" s="237" t="s">
        <v>2052</v>
      </c>
      <c r="D231" s="237" t="s">
        <v>1471</v>
      </c>
      <c r="E231" s="242" t="s">
        <v>1600</v>
      </c>
      <c r="F231" s="243" t="s">
        <v>2053</v>
      </c>
      <c r="G231" s="237" t="s">
        <v>1059</v>
      </c>
      <c r="H231" s="237" t="s">
        <v>738</v>
      </c>
      <c r="I231" s="237" t="s">
        <v>1575</v>
      </c>
      <c r="J231" s="238"/>
    </row>
    <row r="232" spans="2:10" x14ac:dyDescent="0.3">
      <c r="B232" s="241" t="s">
        <v>1959</v>
      </c>
      <c r="C232" s="237" t="s">
        <v>2054</v>
      </c>
      <c r="D232" s="237" t="s">
        <v>1471</v>
      </c>
      <c r="E232" s="242" t="s">
        <v>2055</v>
      </c>
      <c r="F232" s="243" t="s">
        <v>2038</v>
      </c>
      <c r="G232" s="237" t="s">
        <v>747</v>
      </c>
      <c r="H232" s="237" t="s">
        <v>971</v>
      </c>
      <c r="I232" s="237" t="s">
        <v>1561</v>
      </c>
      <c r="J232" s="238"/>
    </row>
    <row r="233" spans="2:10" ht="24" x14ac:dyDescent="0.3">
      <c r="B233" s="241" t="s">
        <v>1959</v>
      </c>
      <c r="C233" s="237" t="s">
        <v>2056</v>
      </c>
      <c r="D233" s="237" t="s">
        <v>1471</v>
      </c>
      <c r="E233" s="242" t="s">
        <v>1603</v>
      </c>
      <c r="F233" s="243" t="s">
        <v>2057</v>
      </c>
      <c r="G233" s="237" t="s">
        <v>1059</v>
      </c>
      <c r="H233" s="237" t="s">
        <v>1605</v>
      </c>
      <c r="I233" s="237" t="s">
        <v>1561</v>
      </c>
      <c r="J233" s="238"/>
    </row>
    <row r="234" spans="2:10" x14ac:dyDescent="0.3">
      <c r="B234" s="241" t="s">
        <v>1959</v>
      </c>
      <c r="C234" s="237" t="s">
        <v>2058</v>
      </c>
      <c r="D234" s="237" t="s">
        <v>1471</v>
      </c>
      <c r="E234" s="242" t="s">
        <v>2059</v>
      </c>
      <c r="F234" s="243" t="s">
        <v>2060</v>
      </c>
      <c r="G234" s="237" t="s">
        <v>995</v>
      </c>
      <c r="H234" s="237" t="s">
        <v>738</v>
      </c>
      <c r="I234" s="237" t="s">
        <v>1558</v>
      </c>
      <c r="J234" s="238"/>
    </row>
    <row r="235" spans="2:10" x14ac:dyDescent="0.3">
      <c r="B235" s="241" t="s">
        <v>1959</v>
      </c>
      <c r="C235" s="237" t="s">
        <v>2061</v>
      </c>
      <c r="D235" s="237" t="s">
        <v>1471</v>
      </c>
      <c r="E235" s="242" t="s">
        <v>2062</v>
      </c>
      <c r="F235" s="243" t="s">
        <v>2060</v>
      </c>
      <c r="G235" s="237" t="s">
        <v>988</v>
      </c>
      <c r="H235" s="237" t="s">
        <v>694</v>
      </c>
      <c r="I235" s="237" t="s">
        <v>1558</v>
      </c>
      <c r="J235" s="238"/>
    </row>
    <row r="236" spans="2:10" ht="24" x14ac:dyDescent="0.3">
      <c r="B236" s="241" t="s">
        <v>1959</v>
      </c>
      <c r="C236" s="237" t="s">
        <v>2063</v>
      </c>
      <c r="D236" s="237" t="s">
        <v>1471</v>
      </c>
      <c r="E236" s="242" t="s">
        <v>1614</v>
      </c>
      <c r="F236" s="243" t="s">
        <v>2064</v>
      </c>
      <c r="G236" s="237" t="s">
        <v>1009</v>
      </c>
      <c r="H236" s="237" t="s">
        <v>694</v>
      </c>
      <c r="I236" s="237" t="s">
        <v>1558</v>
      </c>
      <c r="J236" s="238"/>
    </row>
    <row r="237" spans="2:10" ht="24" x14ac:dyDescent="0.3">
      <c r="B237" s="241" t="s">
        <v>1959</v>
      </c>
      <c r="C237" s="237" t="s">
        <v>2065</v>
      </c>
      <c r="D237" s="237" t="s">
        <v>1471</v>
      </c>
      <c r="E237" s="242" t="s">
        <v>2066</v>
      </c>
      <c r="F237" s="243" t="s">
        <v>1636</v>
      </c>
      <c r="G237" s="237" t="s">
        <v>820</v>
      </c>
      <c r="H237" s="237" t="s">
        <v>2067</v>
      </c>
      <c r="I237" s="237" t="s">
        <v>1575</v>
      </c>
      <c r="J237" s="238"/>
    </row>
    <row r="238" spans="2:10" ht="24" x14ac:dyDescent="0.3">
      <c r="B238" s="241" t="s">
        <v>1959</v>
      </c>
      <c r="C238" s="237" t="s">
        <v>2068</v>
      </c>
      <c r="D238" s="237" t="s">
        <v>1471</v>
      </c>
      <c r="E238" s="242" t="s">
        <v>1635</v>
      </c>
      <c r="F238" s="243" t="s">
        <v>1636</v>
      </c>
      <c r="G238" s="237" t="s">
        <v>988</v>
      </c>
      <c r="H238" s="237" t="s">
        <v>2069</v>
      </c>
      <c r="I238" s="237" t="s">
        <v>1575</v>
      </c>
      <c r="J238" s="238"/>
    </row>
    <row r="239" spans="2:10" ht="24" x14ac:dyDescent="0.3">
      <c r="B239" s="241" t="s">
        <v>1959</v>
      </c>
      <c r="C239" s="237" t="s">
        <v>2070</v>
      </c>
      <c r="D239" s="237" t="s">
        <v>1471</v>
      </c>
      <c r="E239" s="242" t="s">
        <v>2071</v>
      </c>
      <c r="F239" s="243" t="s">
        <v>1636</v>
      </c>
      <c r="G239" s="237" t="s">
        <v>1031</v>
      </c>
      <c r="H239" s="237" t="s">
        <v>2069</v>
      </c>
      <c r="I239" s="237" t="s">
        <v>1575</v>
      </c>
      <c r="J239" s="238"/>
    </row>
    <row r="240" spans="2:10" ht="24" x14ac:dyDescent="0.3">
      <c r="B240" s="241" t="s">
        <v>1959</v>
      </c>
      <c r="C240" s="237" t="s">
        <v>2072</v>
      </c>
      <c r="D240" s="237" t="s">
        <v>1471</v>
      </c>
      <c r="E240" s="242" t="s">
        <v>1638</v>
      </c>
      <c r="F240" s="243" t="s">
        <v>2073</v>
      </c>
      <c r="G240" s="237" t="s">
        <v>1059</v>
      </c>
      <c r="H240" s="237" t="s">
        <v>1591</v>
      </c>
      <c r="I240" s="237" t="s">
        <v>1561</v>
      </c>
      <c r="J240" s="238"/>
    </row>
    <row r="241" spans="2:10" ht="24" x14ac:dyDescent="0.3">
      <c r="B241" s="241" t="s">
        <v>1959</v>
      </c>
      <c r="C241" s="237" t="s">
        <v>2074</v>
      </c>
      <c r="D241" s="237" t="s">
        <v>1471</v>
      </c>
      <c r="E241" s="242" t="s">
        <v>1641</v>
      </c>
      <c r="F241" s="243" t="s">
        <v>1636</v>
      </c>
      <c r="G241" s="237" t="s">
        <v>988</v>
      </c>
      <c r="H241" s="237" t="s">
        <v>2069</v>
      </c>
      <c r="I241" s="237" t="s">
        <v>1575</v>
      </c>
      <c r="J241" s="238"/>
    </row>
    <row r="242" spans="2:10" ht="24" x14ac:dyDescent="0.3">
      <c r="B242" s="241" t="s">
        <v>1959</v>
      </c>
      <c r="C242" s="237" t="s">
        <v>2075</v>
      </c>
      <c r="D242" s="237" t="s">
        <v>1471</v>
      </c>
      <c r="E242" s="242" t="s">
        <v>1557</v>
      </c>
      <c r="F242" s="243" t="s">
        <v>2076</v>
      </c>
      <c r="G242" s="237" t="s">
        <v>995</v>
      </c>
      <c r="H242" s="237" t="s">
        <v>2077</v>
      </c>
      <c r="I242" s="237" t="s">
        <v>1558</v>
      </c>
      <c r="J242" s="238"/>
    </row>
    <row r="243" spans="2:10" ht="24" x14ac:dyDescent="0.3">
      <c r="B243" s="241" t="s">
        <v>2078</v>
      </c>
      <c r="C243" s="237" t="s">
        <v>2079</v>
      </c>
      <c r="D243" s="237" t="s">
        <v>1471</v>
      </c>
      <c r="E243" s="242" t="s">
        <v>1560</v>
      </c>
      <c r="F243" s="243" t="s">
        <v>2076</v>
      </c>
      <c r="G243" s="237" t="s">
        <v>1009</v>
      </c>
      <c r="H243" s="237" t="s">
        <v>2080</v>
      </c>
      <c r="I243" s="237" t="s">
        <v>1558</v>
      </c>
      <c r="J243" s="238"/>
    </row>
    <row r="244" spans="2:10" ht="24" x14ac:dyDescent="0.3">
      <c r="B244" s="241" t="s">
        <v>2078</v>
      </c>
      <c r="C244" s="237" t="s">
        <v>2081</v>
      </c>
      <c r="D244" s="237" t="s">
        <v>1471</v>
      </c>
      <c r="E244" s="242" t="s">
        <v>2026</v>
      </c>
      <c r="F244" s="243" t="s">
        <v>2082</v>
      </c>
      <c r="G244" s="237" t="s">
        <v>979</v>
      </c>
      <c r="H244" s="237" t="s">
        <v>1591</v>
      </c>
      <c r="I244" s="237" t="s">
        <v>1575</v>
      </c>
      <c r="J244" s="238"/>
    </row>
    <row r="245" spans="2:10" ht="24" x14ac:dyDescent="0.3">
      <c r="B245" s="241" t="s">
        <v>2078</v>
      </c>
      <c r="C245" s="237" t="s">
        <v>2083</v>
      </c>
      <c r="D245" s="237" t="s">
        <v>1471</v>
      </c>
      <c r="E245" s="242" t="s">
        <v>2028</v>
      </c>
      <c r="F245" s="243" t="s">
        <v>2082</v>
      </c>
      <c r="G245" s="237" t="s">
        <v>1059</v>
      </c>
      <c r="H245" s="237" t="s">
        <v>738</v>
      </c>
      <c r="I245" s="237" t="s">
        <v>1575</v>
      </c>
      <c r="J245" s="238"/>
    </row>
    <row r="246" spans="2:10" ht="24" x14ac:dyDescent="0.3">
      <c r="B246" s="241" t="s">
        <v>2078</v>
      </c>
      <c r="C246" s="237" t="s">
        <v>2084</v>
      </c>
      <c r="D246" s="237" t="s">
        <v>1471</v>
      </c>
      <c r="E246" s="242" t="s">
        <v>1573</v>
      </c>
      <c r="F246" s="243" t="s">
        <v>2082</v>
      </c>
      <c r="G246" s="237" t="s">
        <v>1009</v>
      </c>
      <c r="H246" s="237" t="s">
        <v>1555</v>
      </c>
      <c r="I246" s="237" t="s">
        <v>1575</v>
      </c>
      <c r="J246" s="238"/>
    </row>
    <row r="247" spans="2:10" ht="24" x14ac:dyDescent="0.3">
      <c r="B247" s="241" t="s">
        <v>2078</v>
      </c>
      <c r="C247" s="237" t="s">
        <v>2085</v>
      </c>
      <c r="D247" s="237" t="s">
        <v>1471</v>
      </c>
      <c r="E247" s="242" t="s">
        <v>2600</v>
      </c>
      <c r="F247" s="243" t="s">
        <v>1564</v>
      </c>
      <c r="G247" s="239" t="s">
        <v>2087</v>
      </c>
      <c r="H247" s="239" t="s">
        <v>2088</v>
      </c>
      <c r="I247" s="237" t="s">
        <v>1558</v>
      </c>
      <c r="J247" s="238"/>
    </row>
    <row r="248" spans="2:10" ht="24" x14ac:dyDescent="0.3">
      <c r="B248" s="241" t="s">
        <v>2078</v>
      </c>
      <c r="C248" s="237" t="s">
        <v>2089</v>
      </c>
      <c r="D248" s="237" t="s">
        <v>1471</v>
      </c>
      <c r="E248" s="242" t="s">
        <v>2593</v>
      </c>
      <c r="F248" s="243" t="s">
        <v>1564</v>
      </c>
      <c r="G248" s="239" t="s">
        <v>2034</v>
      </c>
      <c r="H248" s="239" t="s">
        <v>1578</v>
      </c>
      <c r="I248" s="237" t="s">
        <v>1558</v>
      </c>
      <c r="J248" s="238"/>
    </row>
    <row r="249" spans="2:10" ht="24" x14ac:dyDescent="0.3">
      <c r="B249" s="241" t="s">
        <v>2078</v>
      </c>
      <c r="C249" s="237" t="s">
        <v>2091</v>
      </c>
      <c r="D249" s="237" t="s">
        <v>1471</v>
      </c>
      <c r="E249" s="242" t="s">
        <v>1557</v>
      </c>
      <c r="F249" s="243" t="s">
        <v>2076</v>
      </c>
      <c r="G249" s="237" t="s">
        <v>995</v>
      </c>
      <c r="H249" s="237" t="s">
        <v>790</v>
      </c>
      <c r="I249" s="237" t="s">
        <v>1558</v>
      </c>
      <c r="J249" s="238"/>
    </row>
    <row r="250" spans="2:10" ht="24" x14ac:dyDescent="0.3">
      <c r="B250" s="241" t="s">
        <v>2078</v>
      </c>
      <c r="C250" s="237" t="s">
        <v>2092</v>
      </c>
      <c r="D250" s="237" t="s">
        <v>1471</v>
      </c>
      <c r="E250" s="242" t="s">
        <v>2093</v>
      </c>
      <c r="F250" s="243" t="s">
        <v>2076</v>
      </c>
      <c r="G250" s="237" t="s">
        <v>988</v>
      </c>
      <c r="H250" s="237" t="s">
        <v>790</v>
      </c>
      <c r="I250" s="237" t="s">
        <v>1558</v>
      </c>
      <c r="J250" s="238"/>
    </row>
    <row r="251" spans="2:10" ht="24" x14ac:dyDescent="0.3">
      <c r="B251" s="241" t="s">
        <v>2078</v>
      </c>
      <c r="C251" s="237" t="s">
        <v>2094</v>
      </c>
      <c r="D251" s="237" t="s">
        <v>1471</v>
      </c>
      <c r="E251" s="245" t="s">
        <v>1560</v>
      </c>
      <c r="F251" s="243" t="s">
        <v>2076</v>
      </c>
      <c r="G251" s="237" t="s">
        <v>1009</v>
      </c>
      <c r="H251" s="237" t="s">
        <v>821</v>
      </c>
      <c r="I251" s="237" t="s">
        <v>1558</v>
      </c>
      <c r="J251" s="238"/>
    </row>
    <row r="252" spans="2:10" ht="24" x14ac:dyDescent="0.3">
      <c r="B252" s="241" t="s">
        <v>2078</v>
      </c>
      <c r="C252" s="237" t="s">
        <v>2095</v>
      </c>
      <c r="D252" s="246" t="s">
        <v>1471</v>
      </c>
      <c r="E252" s="247" t="s">
        <v>1580</v>
      </c>
      <c r="F252" s="248" t="s">
        <v>2096</v>
      </c>
      <c r="G252" s="237" t="s">
        <v>970</v>
      </c>
      <c r="H252" s="237" t="s">
        <v>790</v>
      </c>
      <c r="I252" s="237" t="s">
        <v>1575</v>
      </c>
      <c r="J252" s="238"/>
    </row>
    <row r="253" spans="2:10" x14ac:dyDescent="0.3">
      <c r="B253" s="241" t="s">
        <v>2078</v>
      </c>
      <c r="C253" s="237" t="s">
        <v>2097</v>
      </c>
      <c r="D253" s="237" t="s">
        <v>1471</v>
      </c>
      <c r="E253" s="249" t="s">
        <v>2098</v>
      </c>
      <c r="F253" s="243" t="s">
        <v>1584</v>
      </c>
      <c r="G253" s="237" t="s">
        <v>988</v>
      </c>
      <c r="H253" s="237" t="s">
        <v>790</v>
      </c>
      <c r="I253" s="237" t="s">
        <v>1575</v>
      </c>
      <c r="J253" s="238"/>
    </row>
    <row r="254" spans="2:10" ht="24" x14ac:dyDescent="0.3">
      <c r="B254" s="241" t="s">
        <v>2078</v>
      </c>
      <c r="C254" s="237" t="s">
        <v>2099</v>
      </c>
      <c r="D254" s="237" t="s">
        <v>1471</v>
      </c>
      <c r="E254" s="242" t="s">
        <v>2599</v>
      </c>
      <c r="F254" s="243" t="s">
        <v>2101</v>
      </c>
      <c r="G254" s="239" t="s">
        <v>2087</v>
      </c>
      <c r="H254" s="239" t="s">
        <v>2088</v>
      </c>
      <c r="I254" s="237" t="s">
        <v>1575</v>
      </c>
      <c r="J254" s="238"/>
    </row>
    <row r="255" spans="2:10" ht="24" x14ac:dyDescent="0.3">
      <c r="B255" s="241" t="s">
        <v>2078</v>
      </c>
      <c r="C255" s="237" t="s">
        <v>2102</v>
      </c>
      <c r="D255" s="237" t="s">
        <v>1471</v>
      </c>
      <c r="E255" s="242" t="s">
        <v>2594</v>
      </c>
      <c r="F255" s="243" t="s">
        <v>1587</v>
      </c>
      <c r="G255" s="239" t="s">
        <v>2034</v>
      </c>
      <c r="H255" s="239" t="s">
        <v>2046</v>
      </c>
      <c r="I255" s="237" t="s">
        <v>1575</v>
      </c>
      <c r="J255" s="238"/>
    </row>
    <row r="256" spans="2:10" ht="24" x14ac:dyDescent="0.3">
      <c r="B256" s="241" t="s">
        <v>2078</v>
      </c>
      <c r="C256" s="237" t="s">
        <v>2104</v>
      </c>
      <c r="D256" s="237" t="s">
        <v>1471</v>
      </c>
      <c r="E256" s="242" t="s">
        <v>1590</v>
      </c>
      <c r="F256" s="243" t="s">
        <v>1132</v>
      </c>
      <c r="G256" s="237" t="s">
        <v>979</v>
      </c>
      <c r="H256" s="237" t="s">
        <v>738</v>
      </c>
      <c r="I256" s="237" t="s">
        <v>1575</v>
      </c>
      <c r="J256" s="238"/>
    </row>
    <row r="257" spans="2:10" ht="24" x14ac:dyDescent="0.3">
      <c r="B257" s="241" t="s">
        <v>2078</v>
      </c>
      <c r="C257" s="237" t="s">
        <v>2105</v>
      </c>
      <c r="D257" s="237" t="s">
        <v>1471</v>
      </c>
      <c r="E257" s="242" t="s">
        <v>1593</v>
      </c>
      <c r="F257" s="243" t="s">
        <v>1132</v>
      </c>
      <c r="G257" s="237" t="s">
        <v>1059</v>
      </c>
      <c r="H257" s="237" t="s">
        <v>738</v>
      </c>
      <c r="I257" s="237" t="s">
        <v>1575</v>
      </c>
      <c r="J257" s="238"/>
    </row>
    <row r="258" spans="2:10" ht="24" x14ac:dyDescent="0.3">
      <c r="B258" s="241" t="s">
        <v>2078</v>
      </c>
      <c r="C258" s="237" t="s">
        <v>2106</v>
      </c>
      <c r="D258" s="237" t="s">
        <v>1471</v>
      </c>
      <c r="E258" s="242" t="s">
        <v>1597</v>
      </c>
      <c r="F258" s="243" t="s">
        <v>1132</v>
      </c>
      <c r="G258" s="237" t="s">
        <v>1009</v>
      </c>
      <c r="H258" s="237" t="s">
        <v>1555</v>
      </c>
      <c r="I258" s="237" t="s">
        <v>1575</v>
      </c>
      <c r="J258" s="238"/>
    </row>
    <row r="259" spans="2:10" x14ac:dyDescent="0.3">
      <c r="B259" s="241" t="s">
        <v>2078</v>
      </c>
      <c r="C259" s="237" t="s">
        <v>2107</v>
      </c>
      <c r="D259" s="237" t="s">
        <v>1471</v>
      </c>
      <c r="E259" s="242" t="s">
        <v>1600</v>
      </c>
      <c r="F259" s="243" t="s">
        <v>1601</v>
      </c>
      <c r="G259" s="237" t="s">
        <v>1059</v>
      </c>
      <c r="H259" s="237" t="s">
        <v>738</v>
      </c>
      <c r="I259" s="237" t="s">
        <v>1575</v>
      </c>
      <c r="J259" s="238"/>
    </row>
    <row r="260" spans="2:10" x14ac:dyDescent="0.3">
      <c r="B260" s="241" t="s">
        <v>2078</v>
      </c>
      <c r="C260" s="237" t="s">
        <v>2108</v>
      </c>
      <c r="D260" s="237" t="s">
        <v>1471</v>
      </c>
      <c r="E260" s="242" t="s">
        <v>2062</v>
      </c>
      <c r="F260" s="243" t="s">
        <v>1138</v>
      </c>
      <c r="G260" s="237" t="s">
        <v>988</v>
      </c>
      <c r="H260" s="237" t="s">
        <v>694</v>
      </c>
      <c r="I260" s="237" t="s">
        <v>1575</v>
      </c>
      <c r="J260" s="238"/>
    </row>
    <row r="261" spans="2:10" ht="24" x14ac:dyDescent="0.3">
      <c r="B261" s="241" t="s">
        <v>2078</v>
      </c>
      <c r="C261" s="237" t="s">
        <v>2109</v>
      </c>
      <c r="D261" s="237" t="s">
        <v>1471</v>
      </c>
      <c r="E261" s="242" t="s">
        <v>1614</v>
      </c>
      <c r="F261" s="243" t="s">
        <v>1615</v>
      </c>
      <c r="G261" s="237" t="s">
        <v>1009</v>
      </c>
      <c r="H261" s="237" t="s">
        <v>694</v>
      </c>
      <c r="I261" s="237" t="s">
        <v>1575</v>
      </c>
      <c r="J261" s="238"/>
    </row>
    <row r="262" spans="2:10" ht="24" x14ac:dyDescent="0.3">
      <c r="B262" s="241" t="s">
        <v>2078</v>
      </c>
      <c r="C262" s="237" t="s">
        <v>2110</v>
      </c>
      <c r="D262" s="237" t="s">
        <v>1471</v>
      </c>
      <c r="E262" s="242" t="s">
        <v>1635</v>
      </c>
      <c r="F262" s="243" t="s">
        <v>1636</v>
      </c>
      <c r="G262" s="237" t="s">
        <v>988</v>
      </c>
      <c r="H262" s="237" t="s">
        <v>694</v>
      </c>
      <c r="I262" s="237" t="s">
        <v>1575</v>
      </c>
      <c r="J262" s="238"/>
    </row>
    <row r="263" spans="2:10" ht="24" x14ac:dyDescent="0.3">
      <c r="B263" s="241" t="s">
        <v>2078</v>
      </c>
      <c r="C263" s="237" t="s">
        <v>2111</v>
      </c>
      <c r="D263" s="237" t="s">
        <v>1986</v>
      </c>
      <c r="E263" s="242" t="s">
        <v>2112</v>
      </c>
      <c r="F263" s="243" t="s">
        <v>2113</v>
      </c>
      <c r="G263" s="237" t="s">
        <v>1956</v>
      </c>
      <c r="H263" s="237" t="s">
        <v>722</v>
      </c>
      <c r="I263" s="237" t="s">
        <v>515</v>
      </c>
      <c r="J263" s="238"/>
    </row>
    <row r="264" spans="2:10" ht="24" x14ac:dyDescent="0.3">
      <c r="B264" s="241" t="s">
        <v>2078</v>
      </c>
      <c r="C264" s="237" t="s">
        <v>2114</v>
      </c>
      <c r="D264" s="237" t="s">
        <v>1471</v>
      </c>
      <c r="E264" s="242" t="s">
        <v>1652</v>
      </c>
      <c r="F264" s="243" t="s">
        <v>984</v>
      </c>
      <c r="G264" s="237" t="s">
        <v>1653</v>
      </c>
      <c r="H264" s="237" t="s">
        <v>2115</v>
      </c>
      <c r="I264" s="237" t="s">
        <v>1511</v>
      </c>
      <c r="J264" s="238"/>
    </row>
    <row r="265" spans="2:10" ht="24" x14ac:dyDescent="0.3">
      <c r="B265" s="241" t="s">
        <v>2078</v>
      </c>
      <c r="C265" s="237" t="s">
        <v>2116</v>
      </c>
      <c r="D265" s="237" t="s">
        <v>1471</v>
      </c>
      <c r="E265" s="242" t="s">
        <v>1655</v>
      </c>
      <c r="F265" s="243" t="s">
        <v>984</v>
      </c>
      <c r="G265" s="237" t="s">
        <v>1044</v>
      </c>
      <c r="H265" s="237" t="s">
        <v>1656</v>
      </c>
      <c r="I265" s="237" t="s">
        <v>1505</v>
      </c>
      <c r="J265" s="238"/>
    </row>
    <row r="266" spans="2:10" ht="24" x14ac:dyDescent="0.3">
      <c r="B266" s="241" t="s">
        <v>2078</v>
      </c>
      <c r="C266" s="237" t="s">
        <v>2117</v>
      </c>
      <c r="D266" s="237" t="s">
        <v>1471</v>
      </c>
      <c r="E266" s="242" t="s">
        <v>1658</v>
      </c>
      <c r="F266" s="243" t="s">
        <v>976</v>
      </c>
      <c r="G266" s="237" t="s">
        <v>1653</v>
      </c>
      <c r="H266" s="237" t="s">
        <v>514</v>
      </c>
      <c r="I266" s="237" t="s">
        <v>1511</v>
      </c>
      <c r="J266" s="238"/>
    </row>
    <row r="267" spans="2:10" ht="24" x14ac:dyDescent="0.3">
      <c r="B267" s="241" t="s">
        <v>2078</v>
      </c>
      <c r="C267" s="237" t="s">
        <v>2118</v>
      </c>
      <c r="D267" s="237" t="s">
        <v>1471</v>
      </c>
      <c r="E267" s="242" t="s">
        <v>1660</v>
      </c>
      <c r="F267" s="243" t="s">
        <v>1082</v>
      </c>
      <c r="G267" s="237" t="s">
        <v>1044</v>
      </c>
      <c r="H267" s="237" t="s">
        <v>1656</v>
      </c>
      <c r="I267" s="237" t="s">
        <v>1511</v>
      </c>
      <c r="J267" s="238"/>
    </row>
    <row r="268" spans="2:10" x14ac:dyDescent="0.3">
      <c r="B268" s="241" t="s">
        <v>2078</v>
      </c>
      <c r="C268" s="237" t="s">
        <v>2119</v>
      </c>
      <c r="D268" s="237" t="s">
        <v>1471</v>
      </c>
      <c r="E268" s="242" t="s">
        <v>1662</v>
      </c>
      <c r="F268" s="243" t="s">
        <v>2120</v>
      </c>
      <c r="G268" s="237" t="s">
        <v>1664</v>
      </c>
      <c r="H268" s="237" t="s">
        <v>722</v>
      </c>
      <c r="I268" s="237" t="s">
        <v>1561</v>
      </c>
      <c r="J268" s="238"/>
    </row>
    <row r="269" spans="2:10" ht="24" x14ac:dyDescent="0.3">
      <c r="B269" s="241" t="s">
        <v>2078</v>
      </c>
      <c r="C269" s="237" t="s">
        <v>2121</v>
      </c>
      <c r="D269" s="237" t="s">
        <v>1471</v>
      </c>
      <c r="E269" s="242" t="s">
        <v>2122</v>
      </c>
      <c r="F269" s="243" t="s">
        <v>1082</v>
      </c>
      <c r="G269" s="237" t="s">
        <v>1653</v>
      </c>
      <c r="H269" s="237" t="s">
        <v>514</v>
      </c>
      <c r="I269" s="237" t="s">
        <v>1558</v>
      </c>
      <c r="J269" s="238"/>
    </row>
    <row r="270" spans="2:10" ht="24" x14ac:dyDescent="0.3">
      <c r="B270" s="241" t="s">
        <v>2078</v>
      </c>
      <c r="C270" s="237" t="s">
        <v>2123</v>
      </c>
      <c r="D270" s="237" t="s">
        <v>1471</v>
      </c>
      <c r="E270" s="242" t="s">
        <v>2124</v>
      </c>
      <c r="F270" s="243" t="s">
        <v>1082</v>
      </c>
      <c r="G270" s="237" t="s">
        <v>1044</v>
      </c>
      <c r="H270" s="237" t="s">
        <v>1656</v>
      </c>
      <c r="I270" s="237" t="s">
        <v>1575</v>
      </c>
      <c r="J270" s="238"/>
    </row>
    <row r="271" spans="2:10" ht="17.25" thickBot="1" x14ac:dyDescent="0.35">
      <c r="B271" s="250" t="s">
        <v>2078</v>
      </c>
      <c r="C271" s="251" t="s">
        <v>2125</v>
      </c>
      <c r="D271" s="251" t="s">
        <v>1471</v>
      </c>
      <c r="E271" s="252" t="s">
        <v>2126</v>
      </c>
      <c r="F271" s="253" t="s">
        <v>2120</v>
      </c>
      <c r="G271" s="251" t="s">
        <v>1664</v>
      </c>
      <c r="H271" s="251" t="s">
        <v>722</v>
      </c>
      <c r="I271" s="251" t="s">
        <v>1575</v>
      </c>
      <c r="J271" s="204"/>
    </row>
  </sheetData>
  <autoFilter ref="B6:J271"/>
  <sortState ref="B7:I174">
    <sortCondition ref="B7:B174"/>
  </sortState>
  <mergeCells count="1">
    <mergeCell ref="B2:J3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71"/>
  <sheetViews>
    <sheetView showGridLines="0" zoomScaleNormal="100" workbookViewId="0">
      <selection activeCell="I5" sqref="I5"/>
    </sheetView>
  </sheetViews>
  <sheetFormatPr defaultRowHeight="16.5" x14ac:dyDescent="0.3"/>
  <cols>
    <col min="1" max="1" width="0.625" customWidth="1"/>
    <col min="2" max="4" width="9" style="19"/>
    <col min="5" max="5" width="38.875" style="20" customWidth="1"/>
    <col min="6" max="6" width="34.125" style="211" bestFit="1" customWidth="1"/>
    <col min="7" max="7" width="9" style="41"/>
    <col min="8" max="8" width="11.5" style="41" bestFit="1" customWidth="1"/>
    <col min="9" max="9" width="10.875" style="20" customWidth="1"/>
    <col min="10" max="10" width="27.375" style="20" customWidth="1"/>
  </cols>
  <sheetData>
    <row r="1" spans="2:10" ht="4.5" customHeight="1" x14ac:dyDescent="0.3"/>
    <row r="2" spans="2:10" x14ac:dyDescent="0.3">
      <c r="B2" s="368" t="s">
        <v>1461</v>
      </c>
      <c r="C2" s="368"/>
      <c r="D2" s="368"/>
      <c r="E2" s="368"/>
      <c r="F2" s="368"/>
      <c r="G2" s="368"/>
      <c r="H2" s="368"/>
      <c r="I2" s="368"/>
      <c r="J2" s="368"/>
    </row>
    <row r="3" spans="2:10" x14ac:dyDescent="0.3">
      <c r="B3" s="368"/>
      <c r="C3" s="368"/>
      <c r="D3" s="368"/>
      <c r="E3" s="368"/>
      <c r="F3" s="368"/>
      <c r="G3" s="368"/>
      <c r="H3" s="368"/>
      <c r="I3" s="368"/>
      <c r="J3" s="368"/>
    </row>
    <row r="4" spans="2:10" ht="17.25" thickBot="1" x14ac:dyDescent="0.35"/>
    <row r="5" spans="2:10" s="18" customFormat="1" ht="18.75" customHeight="1" x14ac:dyDescent="0.3">
      <c r="B5" s="228"/>
      <c r="C5" s="229"/>
      <c r="D5" s="229"/>
      <c r="E5" s="229"/>
      <c r="F5" s="230"/>
      <c r="G5" s="229"/>
      <c r="H5" s="229"/>
      <c r="I5" s="231" t="s">
        <v>1462</v>
      </c>
      <c r="J5" s="232">
        <v>46098</v>
      </c>
    </row>
    <row r="6" spans="2:10" s="15" customFormat="1" ht="18.75" customHeight="1" x14ac:dyDescent="0.3">
      <c r="B6" s="233" t="s">
        <v>1463</v>
      </c>
      <c r="C6" s="234" t="s">
        <v>1464</v>
      </c>
      <c r="D6" s="234" t="s">
        <v>458</v>
      </c>
      <c r="E6" s="234" t="s">
        <v>1465</v>
      </c>
      <c r="F6" s="235" t="s">
        <v>1466</v>
      </c>
      <c r="G6" s="234" t="s">
        <v>1467</v>
      </c>
      <c r="H6" s="234" t="s">
        <v>1468</v>
      </c>
      <c r="I6" s="281" t="s">
        <v>468</v>
      </c>
      <c r="J6" s="236" t="s">
        <v>471</v>
      </c>
    </row>
    <row r="7" spans="2:10" ht="24" x14ac:dyDescent="0.3">
      <c r="B7" s="241" t="s">
        <v>1469</v>
      </c>
      <c r="C7" s="237" t="s">
        <v>2127</v>
      </c>
      <c r="D7" s="237" t="s">
        <v>1153</v>
      </c>
      <c r="E7" s="242" t="s">
        <v>2128</v>
      </c>
      <c r="F7" s="254" t="s">
        <v>2129</v>
      </c>
      <c r="G7" s="237" t="s">
        <v>1374</v>
      </c>
      <c r="H7" s="239" t="s">
        <v>1195</v>
      </c>
      <c r="I7" s="237" t="s">
        <v>2130</v>
      </c>
      <c r="J7" s="238"/>
    </row>
    <row r="8" spans="2:10" ht="24" x14ac:dyDescent="0.3">
      <c r="B8" s="241" t="s">
        <v>1469</v>
      </c>
      <c r="C8" s="237" t="s">
        <v>2131</v>
      </c>
      <c r="D8" s="237" t="s">
        <v>1153</v>
      </c>
      <c r="E8" s="242" t="s">
        <v>2132</v>
      </c>
      <c r="F8" s="254" t="s">
        <v>2133</v>
      </c>
      <c r="G8" s="237" t="s">
        <v>537</v>
      </c>
      <c r="H8" s="237" t="s">
        <v>494</v>
      </c>
      <c r="I8" s="237" t="s">
        <v>2134</v>
      </c>
      <c r="J8" s="238"/>
    </row>
    <row r="9" spans="2:10" ht="24" x14ac:dyDescent="0.3">
      <c r="B9" s="241" t="s">
        <v>1469</v>
      </c>
      <c r="C9" s="237" t="s">
        <v>2135</v>
      </c>
      <c r="D9" s="237" t="s">
        <v>1153</v>
      </c>
      <c r="E9" s="242" t="s">
        <v>1240</v>
      </c>
      <c r="F9" s="254" t="s">
        <v>2133</v>
      </c>
      <c r="G9" s="237" t="s">
        <v>1397</v>
      </c>
      <c r="H9" s="237" t="s">
        <v>1246</v>
      </c>
      <c r="I9" s="237" t="s">
        <v>2136</v>
      </c>
      <c r="J9" s="238"/>
    </row>
    <row r="10" spans="2:10" ht="24" x14ac:dyDescent="0.3">
      <c r="B10" s="241" t="s">
        <v>1469</v>
      </c>
      <c r="C10" s="237" t="s">
        <v>2137</v>
      </c>
      <c r="D10" s="237" t="s">
        <v>1153</v>
      </c>
      <c r="E10" s="242" t="s">
        <v>2138</v>
      </c>
      <c r="F10" s="254" t="s">
        <v>2133</v>
      </c>
      <c r="G10" s="237" t="s">
        <v>1374</v>
      </c>
      <c r="H10" s="237" t="s">
        <v>1195</v>
      </c>
      <c r="I10" s="237" t="s">
        <v>2139</v>
      </c>
      <c r="J10" s="238"/>
    </row>
    <row r="11" spans="2:10" ht="24" x14ac:dyDescent="0.3">
      <c r="B11" s="241" t="s">
        <v>1469</v>
      </c>
      <c r="C11" s="237" t="s">
        <v>2140</v>
      </c>
      <c r="D11" s="237" t="s">
        <v>1153</v>
      </c>
      <c r="E11" s="242" t="s">
        <v>2132</v>
      </c>
      <c r="F11" s="254" t="s">
        <v>2133</v>
      </c>
      <c r="G11" s="237" t="s">
        <v>537</v>
      </c>
      <c r="H11" s="237" t="s">
        <v>494</v>
      </c>
      <c r="I11" s="237" t="s">
        <v>2141</v>
      </c>
      <c r="J11" s="238"/>
    </row>
    <row r="12" spans="2:10" ht="24" x14ac:dyDescent="0.3">
      <c r="B12" s="241" t="s">
        <v>1469</v>
      </c>
      <c r="C12" s="237" t="s">
        <v>2142</v>
      </c>
      <c r="D12" s="237" t="s">
        <v>1153</v>
      </c>
      <c r="E12" s="242" t="s">
        <v>1394</v>
      </c>
      <c r="F12" s="254" t="s">
        <v>1396</v>
      </c>
      <c r="G12" s="237" t="s">
        <v>1397</v>
      </c>
      <c r="H12" s="239" t="s">
        <v>1401</v>
      </c>
      <c r="I12" s="237" t="s">
        <v>2143</v>
      </c>
      <c r="J12" s="238"/>
    </row>
    <row r="13" spans="2:10" ht="24" x14ac:dyDescent="0.3">
      <c r="B13" s="241" t="s">
        <v>1469</v>
      </c>
      <c r="C13" s="237" t="s">
        <v>2144</v>
      </c>
      <c r="D13" s="237" t="s">
        <v>1153</v>
      </c>
      <c r="E13" s="242" t="s">
        <v>2145</v>
      </c>
      <c r="F13" s="254" t="s">
        <v>1396</v>
      </c>
      <c r="G13" s="237" t="s">
        <v>1374</v>
      </c>
      <c r="H13" s="239" t="s">
        <v>1375</v>
      </c>
      <c r="I13" s="237">
        <v>18.5</v>
      </c>
      <c r="J13" s="238"/>
    </row>
    <row r="14" spans="2:10" ht="24" x14ac:dyDescent="0.3">
      <c r="B14" s="241" t="s">
        <v>1469</v>
      </c>
      <c r="C14" s="237" t="s">
        <v>2146</v>
      </c>
      <c r="D14" s="237" t="s">
        <v>1153</v>
      </c>
      <c r="E14" s="242" t="s">
        <v>1240</v>
      </c>
      <c r="F14" s="254" t="s">
        <v>2133</v>
      </c>
      <c r="G14" s="237" t="s">
        <v>1397</v>
      </c>
      <c r="H14" s="237" t="s">
        <v>1246</v>
      </c>
      <c r="I14" s="237" t="s">
        <v>2147</v>
      </c>
      <c r="J14" s="238"/>
    </row>
    <row r="15" spans="2:10" ht="24" x14ac:dyDescent="0.3">
      <c r="B15" s="241" t="s">
        <v>1469</v>
      </c>
      <c r="C15" s="237" t="s">
        <v>2148</v>
      </c>
      <c r="D15" s="237" t="s">
        <v>1153</v>
      </c>
      <c r="E15" s="242" t="s">
        <v>2149</v>
      </c>
      <c r="F15" s="254" t="s">
        <v>2150</v>
      </c>
      <c r="G15" s="237" t="s">
        <v>979</v>
      </c>
      <c r="H15" s="239" t="s">
        <v>1361</v>
      </c>
      <c r="I15" s="237" t="s">
        <v>2151</v>
      </c>
      <c r="J15" s="238"/>
    </row>
    <row r="16" spans="2:10" ht="24" x14ac:dyDescent="0.3">
      <c r="B16" s="241" t="s">
        <v>1469</v>
      </c>
      <c r="C16" s="237" t="s">
        <v>2152</v>
      </c>
      <c r="D16" s="237" t="s">
        <v>1153</v>
      </c>
      <c r="E16" s="242" t="s">
        <v>2153</v>
      </c>
      <c r="F16" s="254" t="s">
        <v>2154</v>
      </c>
      <c r="G16" s="237" t="s">
        <v>979</v>
      </c>
      <c r="H16" s="239" t="s">
        <v>1361</v>
      </c>
      <c r="I16" s="237" t="s">
        <v>2155</v>
      </c>
      <c r="J16" s="238"/>
    </row>
    <row r="17" spans="2:10" ht="24" x14ac:dyDescent="0.3">
      <c r="B17" s="241" t="s">
        <v>1469</v>
      </c>
      <c r="C17" s="237" t="s">
        <v>2156</v>
      </c>
      <c r="D17" s="237" t="s">
        <v>1153</v>
      </c>
      <c r="E17" s="242" t="s">
        <v>2153</v>
      </c>
      <c r="F17" s="254" t="s">
        <v>2154</v>
      </c>
      <c r="G17" s="237" t="s">
        <v>979</v>
      </c>
      <c r="H17" s="239" t="s">
        <v>1361</v>
      </c>
      <c r="I17" s="237" t="s">
        <v>2157</v>
      </c>
      <c r="J17" s="238"/>
    </row>
    <row r="18" spans="2:10" ht="24" x14ac:dyDescent="0.3">
      <c r="B18" s="241" t="s">
        <v>1469</v>
      </c>
      <c r="C18" s="237" t="s">
        <v>2158</v>
      </c>
      <c r="D18" s="237" t="s">
        <v>1153</v>
      </c>
      <c r="E18" s="242" t="s">
        <v>2159</v>
      </c>
      <c r="F18" s="254" t="s">
        <v>2154</v>
      </c>
      <c r="G18" s="237" t="s">
        <v>988</v>
      </c>
      <c r="H18" s="239" t="s">
        <v>2160</v>
      </c>
      <c r="I18" s="237" t="s">
        <v>2161</v>
      </c>
      <c r="J18" s="238"/>
    </row>
    <row r="19" spans="2:10" ht="24" x14ac:dyDescent="0.3">
      <c r="B19" s="241" t="s">
        <v>1469</v>
      </c>
      <c r="C19" s="237" t="s">
        <v>2162</v>
      </c>
      <c r="D19" s="237" t="s">
        <v>1153</v>
      </c>
      <c r="E19" s="242" t="s">
        <v>2163</v>
      </c>
      <c r="F19" s="254" t="s">
        <v>2154</v>
      </c>
      <c r="G19" s="237" t="s">
        <v>1380</v>
      </c>
      <c r="H19" s="239" t="s">
        <v>738</v>
      </c>
      <c r="I19" s="237" t="s">
        <v>2164</v>
      </c>
      <c r="J19" s="238"/>
    </row>
    <row r="20" spans="2:10" ht="24" x14ac:dyDescent="0.3">
      <c r="B20" s="241" t="s">
        <v>1469</v>
      </c>
      <c r="C20" s="237" t="s">
        <v>2165</v>
      </c>
      <c r="D20" s="237" t="s">
        <v>1153</v>
      </c>
      <c r="E20" s="242" t="s">
        <v>2166</v>
      </c>
      <c r="F20" s="254" t="s">
        <v>2150</v>
      </c>
      <c r="G20" s="237" t="s">
        <v>1380</v>
      </c>
      <c r="H20" s="239" t="s">
        <v>738</v>
      </c>
      <c r="I20" s="237" t="s">
        <v>2151</v>
      </c>
      <c r="J20" s="238"/>
    </row>
    <row r="21" spans="2:10" ht="24" x14ac:dyDescent="0.3">
      <c r="B21" s="241" t="s">
        <v>1469</v>
      </c>
      <c r="C21" s="237" t="s">
        <v>2167</v>
      </c>
      <c r="D21" s="237" t="s">
        <v>1153</v>
      </c>
      <c r="E21" s="242" t="s">
        <v>2168</v>
      </c>
      <c r="F21" s="254" t="s">
        <v>2150</v>
      </c>
      <c r="G21" s="237" t="s">
        <v>979</v>
      </c>
      <c r="H21" s="239" t="s">
        <v>1361</v>
      </c>
      <c r="I21" s="237" t="s">
        <v>2157</v>
      </c>
      <c r="J21" s="238"/>
    </row>
    <row r="22" spans="2:10" ht="24" x14ac:dyDescent="0.3">
      <c r="B22" s="241" t="s">
        <v>1469</v>
      </c>
      <c r="C22" s="237" t="s">
        <v>2169</v>
      </c>
      <c r="D22" s="237" t="s">
        <v>1153</v>
      </c>
      <c r="E22" s="242" t="s">
        <v>2170</v>
      </c>
      <c r="F22" s="254" t="s">
        <v>2150</v>
      </c>
      <c r="G22" s="237" t="s">
        <v>988</v>
      </c>
      <c r="H22" s="239" t="s">
        <v>2160</v>
      </c>
      <c r="I22" s="237" t="s">
        <v>2151</v>
      </c>
      <c r="J22" s="238"/>
    </row>
    <row r="23" spans="2:10" ht="24" x14ac:dyDescent="0.3">
      <c r="B23" s="241" t="s">
        <v>1469</v>
      </c>
      <c r="C23" s="237" t="s">
        <v>2171</v>
      </c>
      <c r="D23" s="237" t="s">
        <v>1153</v>
      </c>
      <c r="E23" s="242" t="s">
        <v>2172</v>
      </c>
      <c r="F23" s="254" t="s">
        <v>2150</v>
      </c>
      <c r="G23" s="237" t="s">
        <v>979</v>
      </c>
      <c r="H23" s="239" t="s">
        <v>1361</v>
      </c>
      <c r="I23" s="237" t="s">
        <v>2173</v>
      </c>
      <c r="J23" s="238"/>
    </row>
    <row r="24" spans="2:10" ht="24" x14ac:dyDescent="0.3">
      <c r="B24" s="241" t="s">
        <v>1469</v>
      </c>
      <c r="C24" s="237" t="s">
        <v>2174</v>
      </c>
      <c r="D24" s="237" t="s">
        <v>1153</v>
      </c>
      <c r="E24" s="242" t="s">
        <v>2175</v>
      </c>
      <c r="F24" s="254" t="s">
        <v>2150</v>
      </c>
      <c r="G24" s="237" t="s">
        <v>988</v>
      </c>
      <c r="H24" s="237" t="s">
        <v>2176</v>
      </c>
      <c r="I24" s="237" t="s">
        <v>2177</v>
      </c>
      <c r="J24" s="238"/>
    </row>
    <row r="25" spans="2:10" ht="24" x14ac:dyDescent="0.3">
      <c r="B25" s="241" t="s">
        <v>1469</v>
      </c>
      <c r="C25" s="237" t="s">
        <v>2178</v>
      </c>
      <c r="D25" s="237" t="s">
        <v>1153</v>
      </c>
      <c r="E25" s="242" t="s">
        <v>2179</v>
      </c>
      <c r="F25" s="254" t="s">
        <v>2180</v>
      </c>
      <c r="G25" s="237" t="s">
        <v>979</v>
      </c>
      <c r="H25" s="239" t="s">
        <v>2181</v>
      </c>
      <c r="I25" s="237">
        <v>17.399999999999999</v>
      </c>
      <c r="J25" s="238"/>
    </row>
    <row r="26" spans="2:10" ht="24" x14ac:dyDescent="0.3">
      <c r="B26" s="241" t="s">
        <v>1469</v>
      </c>
      <c r="C26" s="237" t="s">
        <v>2182</v>
      </c>
      <c r="D26" s="237" t="s">
        <v>1153</v>
      </c>
      <c r="E26" s="242" t="s">
        <v>2183</v>
      </c>
      <c r="F26" s="254" t="s">
        <v>2180</v>
      </c>
      <c r="G26" s="237" t="s">
        <v>979</v>
      </c>
      <c r="H26" s="239" t="s">
        <v>2181</v>
      </c>
      <c r="I26" s="237" t="s">
        <v>2184</v>
      </c>
      <c r="J26" s="238"/>
    </row>
    <row r="27" spans="2:10" ht="24" x14ac:dyDescent="0.3">
      <c r="B27" s="241" t="s">
        <v>1469</v>
      </c>
      <c r="C27" s="237" t="s">
        <v>2185</v>
      </c>
      <c r="D27" s="237" t="s">
        <v>1153</v>
      </c>
      <c r="E27" s="242" t="s">
        <v>2186</v>
      </c>
      <c r="F27" s="254" t="s">
        <v>2180</v>
      </c>
      <c r="G27" s="237" t="s">
        <v>988</v>
      </c>
      <c r="H27" s="239" t="s">
        <v>2187</v>
      </c>
      <c r="I27" s="237" t="s">
        <v>2184</v>
      </c>
      <c r="J27" s="238"/>
    </row>
    <row r="28" spans="2:10" ht="24" x14ac:dyDescent="0.3">
      <c r="B28" s="241" t="s">
        <v>1469</v>
      </c>
      <c r="C28" s="237" t="s">
        <v>2188</v>
      </c>
      <c r="D28" s="237" t="s">
        <v>1153</v>
      </c>
      <c r="E28" s="242" t="s">
        <v>2189</v>
      </c>
      <c r="F28" s="254" t="s">
        <v>1443</v>
      </c>
      <c r="G28" s="237" t="s">
        <v>979</v>
      </c>
      <c r="H28" s="239" t="s">
        <v>2181</v>
      </c>
      <c r="I28" s="237" t="s">
        <v>2190</v>
      </c>
      <c r="J28" s="238"/>
    </row>
    <row r="29" spans="2:10" ht="24" x14ac:dyDescent="0.3">
      <c r="B29" s="241" t="s">
        <v>1469</v>
      </c>
      <c r="C29" s="237" t="s">
        <v>2191</v>
      </c>
      <c r="D29" s="237" t="s">
        <v>1153</v>
      </c>
      <c r="E29" s="242" t="s">
        <v>1456</v>
      </c>
      <c r="F29" s="254" t="s">
        <v>2192</v>
      </c>
      <c r="G29" s="237" t="s">
        <v>979</v>
      </c>
      <c r="H29" s="239" t="s">
        <v>2181</v>
      </c>
      <c r="I29" s="237" t="s">
        <v>2193</v>
      </c>
      <c r="J29" s="238"/>
    </row>
    <row r="30" spans="2:10" ht="24" x14ac:dyDescent="0.3">
      <c r="B30" s="241" t="s">
        <v>1469</v>
      </c>
      <c r="C30" s="237" t="s">
        <v>2194</v>
      </c>
      <c r="D30" s="237" t="s">
        <v>1153</v>
      </c>
      <c r="E30" s="242" t="s">
        <v>2195</v>
      </c>
      <c r="F30" s="254" t="s">
        <v>2192</v>
      </c>
      <c r="G30" s="237" t="s">
        <v>789</v>
      </c>
      <c r="H30" s="239" t="s">
        <v>2196</v>
      </c>
      <c r="I30" s="237" t="s">
        <v>2155</v>
      </c>
      <c r="J30" s="238"/>
    </row>
    <row r="31" spans="2:10" ht="24" x14ac:dyDescent="0.3">
      <c r="B31" s="241" t="s">
        <v>1469</v>
      </c>
      <c r="C31" s="237" t="s">
        <v>2197</v>
      </c>
      <c r="D31" s="237" t="s">
        <v>1153</v>
      </c>
      <c r="E31" s="242" t="s">
        <v>2198</v>
      </c>
      <c r="F31" s="254" t="s">
        <v>2199</v>
      </c>
      <c r="G31" s="237" t="s">
        <v>2200</v>
      </c>
      <c r="H31" s="239" t="s">
        <v>2201</v>
      </c>
      <c r="I31" s="237" t="s">
        <v>2155</v>
      </c>
      <c r="J31" s="238"/>
    </row>
    <row r="32" spans="2:10" ht="24" x14ac:dyDescent="0.3">
      <c r="B32" s="241" t="s">
        <v>1469</v>
      </c>
      <c r="C32" s="237" t="s">
        <v>2202</v>
      </c>
      <c r="D32" s="237" t="s">
        <v>1153</v>
      </c>
      <c r="E32" s="242" t="s">
        <v>2203</v>
      </c>
      <c r="F32" s="254" t="s">
        <v>2204</v>
      </c>
      <c r="G32" s="237" t="s">
        <v>2205</v>
      </c>
      <c r="H32" s="239" t="s">
        <v>2206</v>
      </c>
      <c r="I32" s="237" t="s">
        <v>2207</v>
      </c>
      <c r="J32" s="238"/>
    </row>
    <row r="33" spans="2:10" ht="24" x14ac:dyDescent="0.3">
      <c r="B33" s="241" t="s">
        <v>1469</v>
      </c>
      <c r="C33" s="237" t="s">
        <v>2208</v>
      </c>
      <c r="D33" s="237" t="s">
        <v>1153</v>
      </c>
      <c r="E33" s="242" t="s">
        <v>2209</v>
      </c>
      <c r="F33" s="254" t="s">
        <v>1322</v>
      </c>
      <c r="G33" s="237" t="s">
        <v>2210</v>
      </c>
      <c r="H33" s="239" t="s">
        <v>1326</v>
      </c>
      <c r="I33" s="237">
        <v>17.399999999999999</v>
      </c>
      <c r="J33" s="238"/>
    </row>
    <row r="34" spans="2:10" ht="24" x14ac:dyDescent="0.3">
      <c r="B34" s="241" t="s">
        <v>1469</v>
      </c>
      <c r="C34" s="237" t="s">
        <v>2211</v>
      </c>
      <c r="D34" s="237" t="s">
        <v>1153</v>
      </c>
      <c r="E34" s="242" t="s">
        <v>2212</v>
      </c>
      <c r="F34" s="254" t="s">
        <v>1396</v>
      </c>
      <c r="G34" s="237" t="s">
        <v>2213</v>
      </c>
      <c r="H34" s="239" t="s">
        <v>2214</v>
      </c>
      <c r="I34" s="237" t="s">
        <v>2157</v>
      </c>
      <c r="J34" s="238"/>
    </row>
    <row r="35" spans="2:10" ht="24" x14ac:dyDescent="0.3">
      <c r="B35" s="241" t="s">
        <v>1469</v>
      </c>
      <c r="C35" s="237" t="s">
        <v>2215</v>
      </c>
      <c r="D35" s="237" t="s">
        <v>1153</v>
      </c>
      <c r="E35" s="242" t="s">
        <v>2216</v>
      </c>
      <c r="F35" s="254" t="s">
        <v>2150</v>
      </c>
      <c r="G35" s="237" t="s">
        <v>1389</v>
      </c>
      <c r="H35" s="239" t="s">
        <v>2217</v>
      </c>
      <c r="I35" s="237" t="s">
        <v>2218</v>
      </c>
      <c r="J35" s="238"/>
    </row>
    <row r="36" spans="2:10" ht="24" x14ac:dyDescent="0.3">
      <c r="B36" s="241" t="s">
        <v>1469</v>
      </c>
      <c r="C36" s="237" t="s">
        <v>2219</v>
      </c>
      <c r="D36" s="237" t="s">
        <v>1153</v>
      </c>
      <c r="E36" s="242" t="s">
        <v>2220</v>
      </c>
      <c r="F36" s="254" t="s">
        <v>2221</v>
      </c>
      <c r="G36" s="237" t="s">
        <v>537</v>
      </c>
      <c r="H36" s="239" t="s">
        <v>2222</v>
      </c>
      <c r="I36" s="237" t="s">
        <v>2223</v>
      </c>
      <c r="J36" s="238"/>
    </row>
    <row r="37" spans="2:10" ht="24" x14ac:dyDescent="0.3">
      <c r="B37" s="241" t="s">
        <v>1469</v>
      </c>
      <c r="C37" s="237" t="s">
        <v>2224</v>
      </c>
      <c r="D37" s="237" t="s">
        <v>1153</v>
      </c>
      <c r="E37" s="242" t="s">
        <v>2225</v>
      </c>
      <c r="F37" s="254" t="s">
        <v>2129</v>
      </c>
      <c r="G37" s="237" t="s">
        <v>1374</v>
      </c>
      <c r="H37" s="239" t="s">
        <v>1195</v>
      </c>
      <c r="I37" s="237" t="s">
        <v>2226</v>
      </c>
      <c r="J37" s="238"/>
    </row>
    <row r="38" spans="2:10" ht="24" x14ac:dyDescent="0.3">
      <c r="B38" s="241" t="s">
        <v>1469</v>
      </c>
      <c r="C38" s="237" t="s">
        <v>2227</v>
      </c>
      <c r="D38" s="237" t="s">
        <v>1153</v>
      </c>
      <c r="E38" s="242" t="s">
        <v>2225</v>
      </c>
      <c r="F38" s="254" t="s">
        <v>2129</v>
      </c>
      <c r="G38" s="237" t="s">
        <v>1374</v>
      </c>
      <c r="H38" s="239" t="s">
        <v>1195</v>
      </c>
      <c r="I38" s="237" t="s">
        <v>2151</v>
      </c>
      <c r="J38" s="238"/>
    </row>
    <row r="39" spans="2:10" ht="24" x14ac:dyDescent="0.3">
      <c r="B39" s="241" t="s">
        <v>1469</v>
      </c>
      <c r="C39" s="237" t="s">
        <v>2228</v>
      </c>
      <c r="D39" s="237" t="s">
        <v>1153</v>
      </c>
      <c r="E39" s="242" t="s">
        <v>2229</v>
      </c>
      <c r="F39" s="254" t="s">
        <v>2129</v>
      </c>
      <c r="G39" s="237" t="s">
        <v>537</v>
      </c>
      <c r="H39" s="239" t="s">
        <v>494</v>
      </c>
      <c r="I39" s="237" t="s">
        <v>2230</v>
      </c>
      <c r="J39" s="238"/>
    </row>
    <row r="40" spans="2:10" ht="24" x14ac:dyDescent="0.3">
      <c r="B40" s="241" t="s">
        <v>1469</v>
      </c>
      <c r="C40" s="237" t="s">
        <v>2231</v>
      </c>
      <c r="D40" s="237" t="s">
        <v>1153</v>
      </c>
      <c r="E40" s="242" t="s">
        <v>2229</v>
      </c>
      <c r="F40" s="254" t="s">
        <v>2129</v>
      </c>
      <c r="G40" s="237" t="s">
        <v>537</v>
      </c>
      <c r="H40" s="239" t="s">
        <v>494</v>
      </c>
      <c r="I40" s="237" t="s">
        <v>2232</v>
      </c>
      <c r="J40" s="238"/>
    </row>
    <row r="41" spans="2:10" ht="24" x14ac:dyDescent="0.3">
      <c r="B41" s="241" t="s">
        <v>1469</v>
      </c>
      <c r="C41" s="237" t="s">
        <v>2233</v>
      </c>
      <c r="D41" s="237" t="s">
        <v>1153</v>
      </c>
      <c r="E41" s="242" t="s">
        <v>2234</v>
      </c>
      <c r="F41" s="254" t="s">
        <v>2133</v>
      </c>
      <c r="G41" s="237" t="s">
        <v>1374</v>
      </c>
      <c r="H41" s="237" t="s">
        <v>1195</v>
      </c>
      <c r="I41" s="237" t="s">
        <v>2157</v>
      </c>
      <c r="J41" s="238"/>
    </row>
    <row r="42" spans="2:10" ht="24" x14ac:dyDescent="0.3">
      <c r="B42" s="241" t="s">
        <v>1469</v>
      </c>
      <c r="C42" s="237" t="s">
        <v>2235</v>
      </c>
      <c r="D42" s="237" t="s">
        <v>1153</v>
      </c>
      <c r="E42" s="242" t="s">
        <v>2236</v>
      </c>
      <c r="F42" s="254" t="s">
        <v>2133</v>
      </c>
      <c r="G42" s="237" t="s">
        <v>2237</v>
      </c>
      <c r="H42" s="237" t="s">
        <v>494</v>
      </c>
      <c r="I42" s="237" t="s">
        <v>2157</v>
      </c>
      <c r="J42" s="238"/>
    </row>
    <row r="43" spans="2:10" ht="24" x14ac:dyDescent="0.3">
      <c r="B43" s="241" t="s">
        <v>1469</v>
      </c>
      <c r="C43" s="237" t="s">
        <v>2238</v>
      </c>
      <c r="D43" s="237" t="s">
        <v>1153</v>
      </c>
      <c r="E43" s="242" t="s">
        <v>2239</v>
      </c>
      <c r="F43" s="254" t="s">
        <v>2133</v>
      </c>
      <c r="G43" s="237" t="s">
        <v>1397</v>
      </c>
      <c r="H43" s="237" t="s">
        <v>1246</v>
      </c>
      <c r="I43" s="237" t="s">
        <v>2240</v>
      </c>
      <c r="J43" s="238"/>
    </row>
    <row r="44" spans="2:10" ht="24" x14ac:dyDescent="0.3">
      <c r="B44" s="241" t="s">
        <v>1469</v>
      </c>
      <c r="C44" s="237" t="s">
        <v>2241</v>
      </c>
      <c r="D44" s="237" t="s">
        <v>1153</v>
      </c>
      <c r="E44" s="242" t="s">
        <v>2242</v>
      </c>
      <c r="F44" s="254" t="s">
        <v>2243</v>
      </c>
      <c r="G44" s="237" t="s">
        <v>2244</v>
      </c>
      <c r="H44" s="239" t="s">
        <v>1246</v>
      </c>
      <c r="I44" s="237" t="s">
        <v>2245</v>
      </c>
      <c r="J44" s="238"/>
    </row>
    <row r="45" spans="2:10" ht="24" x14ac:dyDescent="0.3">
      <c r="B45" s="241" t="s">
        <v>1469</v>
      </c>
      <c r="C45" s="237" t="s">
        <v>2246</v>
      </c>
      <c r="D45" s="237" t="s">
        <v>1153</v>
      </c>
      <c r="E45" s="242" t="s">
        <v>2247</v>
      </c>
      <c r="F45" s="254" t="s">
        <v>2243</v>
      </c>
      <c r="G45" s="237" t="s">
        <v>970</v>
      </c>
      <c r="H45" s="239" t="s">
        <v>1246</v>
      </c>
      <c r="I45" s="237" t="s">
        <v>2151</v>
      </c>
      <c r="J45" s="238"/>
    </row>
    <row r="46" spans="2:10" ht="24" x14ac:dyDescent="0.3">
      <c r="B46" s="241" t="s">
        <v>1469</v>
      </c>
      <c r="C46" s="237" t="s">
        <v>2248</v>
      </c>
      <c r="D46" s="237" t="s">
        <v>1153</v>
      </c>
      <c r="E46" s="242" t="s">
        <v>2249</v>
      </c>
      <c r="F46" s="254" t="s">
        <v>2243</v>
      </c>
      <c r="G46" s="237" t="s">
        <v>979</v>
      </c>
      <c r="H46" s="239" t="s">
        <v>1275</v>
      </c>
      <c r="I46" s="237" t="s">
        <v>2157</v>
      </c>
      <c r="J46" s="238"/>
    </row>
    <row r="47" spans="2:10" ht="24" x14ac:dyDescent="0.3">
      <c r="B47" s="241" t="s">
        <v>1469</v>
      </c>
      <c r="C47" s="237" t="s">
        <v>2250</v>
      </c>
      <c r="D47" s="237" t="s">
        <v>1153</v>
      </c>
      <c r="E47" s="242" t="s">
        <v>2251</v>
      </c>
      <c r="F47" s="254" t="s">
        <v>2252</v>
      </c>
      <c r="G47" s="237" t="s">
        <v>1949</v>
      </c>
      <c r="H47" s="239" t="s">
        <v>2253</v>
      </c>
      <c r="I47" s="237" t="s">
        <v>2254</v>
      </c>
      <c r="J47" s="238"/>
    </row>
    <row r="48" spans="2:10" ht="24" x14ac:dyDescent="0.3">
      <c r="B48" s="241" t="s">
        <v>1469</v>
      </c>
      <c r="C48" s="237" t="s">
        <v>2255</v>
      </c>
      <c r="D48" s="237" t="s">
        <v>1153</v>
      </c>
      <c r="E48" s="242" t="s">
        <v>2256</v>
      </c>
      <c r="F48" s="254" t="s">
        <v>1251</v>
      </c>
      <c r="G48" s="237" t="s">
        <v>2257</v>
      </c>
      <c r="H48" s="239" t="s">
        <v>2253</v>
      </c>
      <c r="I48" s="237" t="s">
        <v>2258</v>
      </c>
      <c r="J48" s="238"/>
    </row>
    <row r="49" spans="2:10" ht="24" x14ac:dyDescent="0.3">
      <c r="B49" s="241" t="s">
        <v>1469</v>
      </c>
      <c r="C49" s="237" t="s">
        <v>2259</v>
      </c>
      <c r="D49" s="237" t="s">
        <v>1153</v>
      </c>
      <c r="E49" s="242" t="s">
        <v>2260</v>
      </c>
      <c r="F49" s="254" t="s">
        <v>2261</v>
      </c>
      <c r="G49" s="237" t="s">
        <v>2257</v>
      </c>
      <c r="H49" s="239" t="s">
        <v>2262</v>
      </c>
      <c r="I49" s="237" t="s">
        <v>2263</v>
      </c>
      <c r="J49" s="238"/>
    </row>
    <row r="50" spans="2:10" ht="24" x14ac:dyDescent="0.3">
      <c r="B50" s="241" t="s">
        <v>1469</v>
      </c>
      <c r="C50" s="237" t="s">
        <v>2264</v>
      </c>
      <c r="D50" s="237" t="s">
        <v>1153</v>
      </c>
      <c r="E50" s="242" t="s">
        <v>2265</v>
      </c>
      <c r="F50" s="254" t="s">
        <v>2266</v>
      </c>
      <c r="G50" s="237" t="s">
        <v>1949</v>
      </c>
      <c r="H50" s="239" t="s">
        <v>2253</v>
      </c>
      <c r="I50" s="237" t="s">
        <v>2130</v>
      </c>
      <c r="J50" s="238"/>
    </row>
    <row r="51" spans="2:10" ht="24" x14ac:dyDescent="0.3">
      <c r="B51" s="241" t="s">
        <v>1469</v>
      </c>
      <c r="C51" s="237" t="s">
        <v>2267</v>
      </c>
      <c r="D51" s="237" t="s">
        <v>1153</v>
      </c>
      <c r="E51" s="242" t="s">
        <v>2268</v>
      </c>
      <c r="F51" s="254" t="s">
        <v>2269</v>
      </c>
      <c r="G51" s="237" t="s">
        <v>1949</v>
      </c>
      <c r="H51" s="239" t="s">
        <v>682</v>
      </c>
      <c r="I51" s="237" t="s">
        <v>2270</v>
      </c>
      <c r="J51" s="238"/>
    </row>
    <row r="52" spans="2:10" ht="24" x14ac:dyDescent="0.3">
      <c r="B52" s="241" t="s">
        <v>1469</v>
      </c>
      <c r="C52" s="237" t="s">
        <v>2271</v>
      </c>
      <c r="D52" s="237" t="s">
        <v>1153</v>
      </c>
      <c r="E52" s="242" t="s">
        <v>2272</v>
      </c>
      <c r="F52" s="254" t="s">
        <v>2273</v>
      </c>
      <c r="G52" s="237" t="s">
        <v>1664</v>
      </c>
      <c r="H52" s="239" t="s">
        <v>2274</v>
      </c>
      <c r="I52" s="237" t="s">
        <v>2207</v>
      </c>
      <c r="J52" s="238"/>
    </row>
    <row r="53" spans="2:10" ht="24" x14ac:dyDescent="0.3">
      <c r="B53" s="241" t="s">
        <v>1469</v>
      </c>
      <c r="C53" s="237" t="s">
        <v>2275</v>
      </c>
      <c r="D53" s="237" t="s">
        <v>1153</v>
      </c>
      <c r="E53" s="242" t="s">
        <v>2276</v>
      </c>
      <c r="F53" s="254" t="s">
        <v>2129</v>
      </c>
      <c r="G53" s="237" t="s">
        <v>1949</v>
      </c>
      <c r="H53" s="239" t="s">
        <v>2277</v>
      </c>
      <c r="I53" s="237">
        <v>17.399999999999999</v>
      </c>
      <c r="J53" s="238"/>
    </row>
    <row r="54" spans="2:10" ht="24" x14ac:dyDescent="0.3">
      <c r="B54" s="241" t="s">
        <v>1469</v>
      </c>
      <c r="C54" s="237" t="s">
        <v>2278</v>
      </c>
      <c r="D54" s="237" t="s">
        <v>1153</v>
      </c>
      <c r="E54" s="242" t="s">
        <v>2279</v>
      </c>
      <c r="F54" s="254" t="s">
        <v>2280</v>
      </c>
      <c r="G54" s="237" t="s">
        <v>2281</v>
      </c>
      <c r="H54" s="239" t="s">
        <v>2282</v>
      </c>
      <c r="I54" s="237" t="s">
        <v>2283</v>
      </c>
      <c r="J54" s="238"/>
    </row>
    <row r="55" spans="2:10" ht="24" x14ac:dyDescent="0.3">
      <c r="B55" s="241" t="s">
        <v>1469</v>
      </c>
      <c r="C55" s="237" t="s">
        <v>2284</v>
      </c>
      <c r="D55" s="237" t="s">
        <v>1153</v>
      </c>
      <c r="E55" s="242" t="s">
        <v>2285</v>
      </c>
      <c r="F55" s="254" t="s">
        <v>2243</v>
      </c>
      <c r="G55" s="237" t="s">
        <v>1664</v>
      </c>
      <c r="H55" s="239" t="s">
        <v>2274</v>
      </c>
      <c r="I55" s="237">
        <v>17.399999999999999</v>
      </c>
      <c r="J55" s="238"/>
    </row>
    <row r="56" spans="2:10" ht="24" x14ac:dyDescent="0.3">
      <c r="B56" s="241" t="s">
        <v>1469</v>
      </c>
      <c r="C56" s="237" t="s">
        <v>2286</v>
      </c>
      <c r="D56" s="237" t="s">
        <v>1153</v>
      </c>
      <c r="E56" s="242" t="s">
        <v>2287</v>
      </c>
      <c r="F56" s="254" t="s">
        <v>2243</v>
      </c>
      <c r="G56" s="237" t="s">
        <v>2257</v>
      </c>
      <c r="H56" s="239" t="s">
        <v>2253</v>
      </c>
      <c r="I56" s="237" t="s">
        <v>2288</v>
      </c>
      <c r="J56" s="238"/>
    </row>
    <row r="57" spans="2:10" ht="24" x14ac:dyDescent="0.3">
      <c r="B57" s="241" t="s">
        <v>1959</v>
      </c>
      <c r="C57" s="237" t="s">
        <v>2289</v>
      </c>
      <c r="D57" s="237" t="s">
        <v>1153</v>
      </c>
      <c r="E57" s="242" t="s">
        <v>2290</v>
      </c>
      <c r="F57" s="254" t="s">
        <v>2129</v>
      </c>
      <c r="G57" s="237" t="s">
        <v>537</v>
      </c>
      <c r="H57" s="237" t="s">
        <v>494</v>
      </c>
      <c r="I57" s="237" t="s">
        <v>2291</v>
      </c>
      <c r="J57" s="238"/>
    </row>
    <row r="58" spans="2:10" ht="24" x14ac:dyDescent="0.3">
      <c r="B58" s="241" t="s">
        <v>1959</v>
      </c>
      <c r="C58" s="237" t="s">
        <v>2292</v>
      </c>
      <c r="D58" s="237" t="s">
        <v>1153</v>
      </c>
      <c r="E58" s="242" t="s">
        <v>2138</v>
      </c>
      <c r="F58" s="254" t="s">
        <v>2133</v>
      </c>
      <c r="G58" s="237" t="s">
        <v>1374</v>
      </c>
      <c r="H58" s="237" t="s">
        <v>1195</v>
      </c>
      <c r="I58" s="237" t="s">
        <v>2134</v>
      </c>
      <c r="J58" s="238"/>
    </row>
    <row r="59" spans="2:10" ht="24" x14ac:dyDescent="0.3">
      <c r="B59" s="241" t="s">
        <v>1959</v>
      </c>
      <c r="C59" s="237" t="s">
        <v>2293</v>
      </c>
      <c r="D59" s="237" t="s">
        <v>1153</v>
      </c>
      <c r="E59" s="242" t="s">
        <v>2128</v>
      </c>
      <c r="F59" s="254" t="s">
        <v>2129</v>
      </c>
      <c r="G59" s="237" t="s">
        <v>1374</v>
      </c>
      <c r="H59" s="237" t="s">
        <v>1375</v>
      </c>
      <c r="I59" s="237" t="s">
        <v>2294</v>
      </c>
      <c r="J59" s="238"/>
    </row>
    <row r="60" spans="2:10" ht="24" x14ac:dyDescent="0.3">
      <c r="B60" s="241" t="s">
        <v>1959</v>
      </c>
      <c r="C60" s="237" t="s">
        <v>2295</v>
      </c>
      <c r="D60" s="237" t="s">
        <v>1153</v>
      </c>
      <c r="E60" s="242" t="s">
        <v>2132</v>
      </c>
      <c r="F60" s="254" t="s">
        <v>2133</v>
      </c>
      <c r="G60" s="237" t="s">
        <v>2237</v>
      </c>
      <c r="H60" s="237" t="s">
        <v>494</v>
      </c>
      <c r="I60" s="237" t="s">
        <v>2136</v>
      </c>
      <c r="J60" s="238"/>
    </row>
    <row r="61" spans="2:10" ht="24" x14ac:dyDescent="0.3">
      <c r="B61" s="241" t="s">
        <v>1959</v>
      </c>
      <c r="C61" s="237" t="s">
        <v>2296</v>
      </c>
      <c r="D61" s="237" t="s">
        <v>1153</v>
      </c>
      <c r="E61" s="242" t="s">
        <v>1240</v>
      </c>
      <c r="F61" s="254" t="s">
        <v>2133</v>
      </c>
      <c r="G61" s="237" t="s">
        <v>1397</v>
      </c>
      <c r="H61" s="237" t="s">
        <v>1246</v>
      </c>
      <c r="I61" s="237" t="s">
        <v>2297</v>
      </c>
      <c r="J61" s="238"/>
    </row>
    <row r="62" spans="2:10" ht="24" x14ac:dyDescent="0.3">
      <c r="B62" s="241" t="s">
        <v>1959</v>
      </c>
      <c r="C62" s="237" t="s">
        <v>2298</v>
      </c>
      <c r="D62" s="237" t="s">
        <v>1153</v>
      </c>
      <c r="E62" s="242" t="s">
        <v>2299</v>
      </c>
      <c r="F62" s="254" t="s">
        <v>1396</v>
      </c>
      <c r="G62" s="237" t="s">
        <v>1374</v>
      </c>
      <c r="H62" s="237" t="s">
        <v>1246</v>
      </c>
      <c r="I62" s="237" t="s">
        <v>2300</v>
      </c>
      <c r="J62" s="238"/>
    </row>
    <row r="63" spans="2:10" ht="24" x14ac:dyDescent="0.3">
      <c r="B63" s="241" t="s">
        <v>1959</v>
      </c>
      <c r="C63" s="237" t="s">
        <v>2301</v>
      </c>
      <c r="D63" s="237" t="s">
        <v>1153</v>
      </c>
      <c r="E63" s="242" t="s">
        <v>2153</v>
      </c>
      <c r="F63" s="254" t="s">
        <v>2154</v>
      </c>
      <c r="G63" s="237" t="s">
        <v>2302</v>
      </c>
      <c r="H63" s="237" t="s">
        <v>1406</v>
      </c>
      <c r="I63" s="237" t="s">
        <v>2164</v>
      </c>
      <c r="J63" s="238"/>
    </row>
    <row r="64" spans="2:10" ht="24" x14ac:dyDescent="0.3">
      <c r="B64" s="241" t="s">
        <v>1959</v>
      </c>
      <c r="C64" s="237" t="s">
        <v>2303</v>
      </c>
      <c r="D64" s="237" t="s">
        <v>1153</v>
      </c>
      <c r="E64" s="242" t="s">
        <v>2304</v>
      </c>
      <c r="F64" s="254" t="s">
        <v>1396</v>
      </c>
      <c r="G64" s="237" t="s">
        <v>2305</v>
      </c>
      <c r="H64" s="237" t="s">
        <v>1275</v>
      </c>
      <c r="I64" s="237" t="s">
        <v>2306</v>
      </c>
      <c r="J64" s="238"/>
    </row>
    <row r="65" spans="2:10" ht="24" x14ac:dyDescent="0.3">
      <c r="B65" s="241" t="s">
        <v>1959</v>
      </c>
      <c r="C65" s="237" t="s">
        <v>2307</v>
      </c>
      <c r="D65" s="237" t="s">
        <v>1153</v>
      </c>
      <c r="E65" s="242" t="s">
        <v>2163</v>
      </c>
      <c r="F65" s="254" t="s">
        <v>2154</v>
      </c>
      <c r="G65" s="237" t="s">
        <v>1380</v>
      </c>
      <c r="H65" s="237" t="s">
        <v>738</v>
      </c>
      <c r="I65" s="237" t="s">
        <v>2308</v>
      </c>
      <c r="J65" s="238"/>
    </row>
    <row r="66" spans="2:10" ht="24" x14ac:dyDescent="0.3">
      <c r="B66" s="241" t="s">
        <v>1959</v>
      </c>
      <c r="C66" s="237" t="s">
        <v>2309</v>
      </c>
      <c r="D66" s="237" t="s">
        <v>1153</v>
      </c>
      <c r="E66" s="242" t="s">
        <v>2310</v>
      </c>
      <c r="F66" s="254" t="s">
        <v>2150</v>
      </c>
      <c r="G66" s="237" t="s">
        <v>1374</v>
      </c>
      <c r="H66" s="237" t="s">
        <v>1375</v>
      </c>
      <c r="I66" s="237" t="s">
        <v>2157</v>
      </c>
      <c r="J66" s="238"/>
    </row>
    <row r="67" spans="2:10" ht="24" x14ac:dyDescent="0.3">
      <c r="B67" s="241" t="s">
        <v>1959</v>
      </c>
      <c r="C67" s="237" t="s">
        <v>2311</v>
      </c>
      <c r="D67" s="237" t="s">
        <v>1153</v>
      </c>
      <c r="E67" s="242" t="s">
        <v>2149</v>
      </c>
      <c r="F67" s="254" t="s">
        <v>2150</v>
      </c>
      <c r="G67" s="237" t="s">
        <v>2305</v>
      </c>
      <c r="H67" s="237" t="s">
        <v>1406</v>
      </c>
      <c r="I67" s="237" t="s">
        <v>2218</v>
      </c>
      <c r="J67" s="238"/>
    </row>
    <row r="68" spans="2:10" ht="24" x14ac:dyDescent="0.3">
      <c r="B68" s="241" t="s">
        <v>1959</v>
      </c>
      <c r="C68" s="237" t="s">
        <v>2312</v>
      </c>
      <c r="D68" s="237" t="s">
        <v>1153</v>
      </c>
      <c r="E68" s="242" t="s">
        <v>2166</v>
      </c>
      <c r="F68" s="254" t="s">
        <v>2150</v>
      </c>
      <c r="G68" s="237" t="s">
        <v>1380</v>
      </c>
      <c r="H68" s="237" t="s">
        <v>738</v>
      </c>
      <c r="I68" s="237" t="s">
        <v>2313</v>
      </c>
      <c r="J68" s="238"/>
    </row>
    <row r="69" spans="2:10" ht="24" x14ac:dyDescent="0.3">
      <c r="B69" s="241" t="s">
        <v>1959</v>
      </c>
      <c r="C69" s="237" t="s">
        <v>2314</v>
      </c>
      <c r="D69" s="237" t="s">
        <v>1153</v>
      </c>
      <c r="E69" s="242" t="s">
        <v>2168</v>
      </c>
      <c r="F69" s="254" t="s">
        <v>2150</v>
      </c>
      <c r="G69" s="237" t="s">
        <v>979</v>
      </c>
      <c r="H69" s="237" t="s">
        <v>1406</v>
      </c>
      <c r="I69" s="237">
        <v>18.100000000000001</v>
      </c>
      <c r="J69" s="238"/>
    </row>
    <row r="70" spans="2:10" ht="24" x14ac:dyDescent="0.3">
      <c r="B70" s="241" t="s">
        <v>1959</v>
      </c>
      <c r="C70" s="237" t="s">
        <v>2315</v>
      </c>
      <c r="D70" s="237" t="s">
        <v>1153</v>
      </c>
      <c r="E70" s="242" t="s">
        <v>2170</v>
      </c>
      <c r="F70" s="254" t="s">
        <v>2150</v>
      </c>
      <c r="G70" s="237" t="s">
        <v>988</v>
      </c>
      <c r="H70" s="237" t="s">
        <v>1431</v>
      </c>
      <c r="I70" s="237" t="s">
        <v>2218</v>
      </c>
      <c r="J70" s="238"/>
    </row>
    <row r="71" spans="2:10" ht="24" x14ac:dyDescent="0.3">
      <c r="B71" s="241" t="s">
        <v>1959</v>
      </c>
      <c r="C71" s="237" t="s">
        <v>2316</v>
      </c>
      <c r="D71" s="237" t="s">
        <v>1153</v>
      </c>
      <c r="E71" s="242" t="s">
        <v>2172</v>
      </c>
      <c r="F71" s="254" t="s">
        <v>2150</v>
      </c>
      <c r="G71" s="237" t="s">
        <v>2305</v>
      </c>
      <c r="H71" s="237" t="s">
        <v>1361</v>
      </c>
      <c r="I71" s="237">
        <v>18.5</v>
      </c>
      <c r="J71" s="238"/>
    </row>
    <row r="72" spans="2:10" ht="24" x14ac:dyDescent="0.3">
      <c r="B72" s="241" t="s">
        <v>1959</v>
      </c>
      <c r="C72" s="237" t="s">
        <v>2317</v>
      </c>
      <c r="D72" s="237" t="s">
        <v>1153</v>
      </c>
      <c r="E72" s="242" t="s">
        <v>2175</v>
      </c>
      <c r="F72" s="254" t="s">
        <v>2150</v>
      </c>
      <c r="G72" s="237" t="s">
        <v>988</v>
      </c>
      <c r="H72" s="237" t="s">
        <v>2176</v>
      </c>
      <c r="I72" s="237" t="s">
        <v>2318</v>
      </c>
      <c r="J72" s="238"/>
    </row>
    <row r="73" spans="2:10" ht="24" x14ac:dyDescent="0.3">
      <c r="B73" s="241" t="s">
        <v>1959</v>
      </c>
      <c r="C73" s="237" t="s">
        <v>2319</v>
      </c>
      <c r="D73" s="237" t="s">
        <v>1153</v>
      </c>
      <c r="E73" s="242" t="s">
        <v>2179</v>
      </c>
      <c r="F73" s="254" t="s">
        <v>2180</v>
      </c>
      <c r="G73" s="237" t="s">
        <v>979</v>
      </c>
      <c r="H73" s="237" t="s">
        <v>2181</v>
      </c>
      <c r="I73" s="237" t="s">
        <v>2318</v>
      </c>
      <c r="J73" s="238"/>
    </row>
    <row r="74" spans="2:10" ht="24" x14ac:dyDescent="0.3">
      <c r="B74" s="241" t="s">
        <v>1959</v>
      </c>
      <c r="C74" s="237" t="s">
        <v>2320</v>
      </c>
      <c r="D74" s="237" t="s">
        <v>1153</v>
      </c>
      <c r="E74" s="242" t="s">
        <v>2321</v>
      </c>
      <c r="F74" s="254" t="s">
        <v>2180</v>
      </c>
      <c r="G74" s="237" t="s">
        <v>988</v>
      </c>
      <c r="H74" s="237" t="s">
        <v>2322</v>
      </c>
      <c r="I74" s="237" t="s">
        <v>2306</v>
      </c>
      <c r="J74" s="238"/>
    </row>
    <row r="75" spans="2:10" ht="24" x14ac:dyDescent="0.3">
      <c r="B75" s="241" t="s">
        <v>1959</v>
      </c>
      <c r="C75" s="237" t="s">
        <v>2323</v>
      </c>
      <c r="D75" s="237" t="s">
        <v>1153</v>
      </c>
      <c r="E75" s="242" t="s">
        <v>2324</v>
      </c>
      <c r="F75" s="254" t="s">
        <v>2243</v>
      </c>
      <c r="G75" s="237" t="s">
        <v>2244</v>
      </c>
      <c r="H75" s="237" t="s">
        <v>2325</v>
      </c>
      <c r="I75" s="237" t="s">
        <v>2218</v>
      </c>
      <c r="J75" s="238"/>
    </row>
    <row r="76" spans="2:10" ht="24" x14ac:dyDescent="0.3">
      <c r="B76" s="241" t="s">
        <v>1959</v>
      </c>
      <c r="C76" s="237" t="s">
        <v>2326</v>
      </c>
      <c r="D76" s="237" t="s">
        <v>1153</v>
      </c>
      <c r="E76" s="242" t="s">
        <v>2183</v>
      </c>
      <c r="F76" s="254" t="s">
        <v>2180</v>
      </c>
      <c r="G76" s="237" t="s">
        <v>979</v>
      </c>
      <c r="H76" s="237" t="s">
        <v>2181</v>
      </c>
      <c r="I76" s="237" t="s">
        <v>2327</v>
      </c>
      <c r="J76" s="238"/>
    </row>
    <row r="77" spans="2:10" ht="24" x14ac:dyDescent="0.3">
      <c r="B77" s="241" t="s">
        <v>1959</v>
      </c>
      <c r="C77" s="237" t="s">
        <v>2328</v>
      </c>
      <c r="D77" s="237" t="s">
        <v>1153</v>
      </c>
      <c r="E77" s="242" t="s">
        <v>2186</v>
      </c>
      <c r="F77" s="254" t="s">
        <v>2180</v>
      </c>
      <c r="G77" s="237" t="s">
        <v>988</v>
      </c>
      <c r="H77" s="237" t="s">
        <v>2187</v>
      </c>
      <c r="I77" s="237" t="s">
        <v>2313</v>
      </c>
      <c r="J77" s="238"/>
    </row>
    <row r="78" spans="2:10" ht="24" x14ac:dyDescent="0.3">
      <c r="B78" s="241" t="s">
        <v>1959</v>
      </c>
      <c r="C78" s="237" t="s">
        <v>2329</v>
      </c>
      <c r="D78" s="237" t="s">
        <v>1153</v>
      </c>
      <c r="E78" s="242" t="s">
        <v>2189</v>
      </c>
      <c r="F78" s="254" t="s">
        <v>2330</v>
      </c>
      <c r="G78" s="237" t="s">
        <v>979</v>
      </c>
      <c r="H78" s="237" t="s">
        <v>2181</v>
      </c>
      <c r="I78" s="237" t="s">
        <v>2306</v>
      </c>
      <c r="J78" s="238"/>
    </row>
    <row r="79" spans="2:10" ht="24" x14ac:dyDescent="0.3">
      <c r="B79" s="241" t="s">
        <v>1959</v>
      </c>
      <c r="C79" s="237" t="s">
        <v>2331</v>
      </c>
      <c r="D79" s="237" t="s">
        <v>1153</v>
      </c>
      <c r="E79" s="242" t="s">
        <v>2332</v>
      </c>
      <c r="F79" s="254" t="s">
        <v>2330</v>
      </c>
      <c r="G79" s="237" t="s">
        <v>988</v>
      </c>
      <c r="H79" s="237" t="s">
        <v>2196</v>
      </c>
      <c r="I79" s="237">
        <v>17.7</v>
      </c>
      <c r="J79" s="238"/>
    </row>
    <row r="80" spans="2:10" ht="24" x14ac:dyDescent="0.3">
      <c r="B80" s="241" t="s">
        <v>2078</v>
      </c>
      <c r="C80" s="237" t="s">
        <v>2333</v>
      </c>
      <c r="D80" s="237" t="s">
        <v>1153</v>
      </c>
      <c r="E80" s="242" t="s">
        <v>2334</v>
      </c>
      <c r="F80" s="254" t="s">
        <v>2335</v>
      </c>
      <c r="G80" s="237" t="s">
        <v>979</v>
      </c>
      <c r="H80" s="237" t="s">
        <v>2181</v>
      </c>
      <c r="I80" s="237" t="s">
        <v>2327</v>
      </c>
      <c r="J80" s="238"/>
    </row>
    <row r="81" spans="2:10" ht="24" x14ac:dyDescent="0.3">
      <c r="B81" s="241" t="s">
        <v>2078</v>
      </c>
      <c r="C81" s="237" t="s">
        <v>2336</v>
      </c>
      <c r="D81" s="237" t="s">
        <v>1153</v>
      </c>
      <c r="E81" s="242" t="s">
        <v>2337</v>
      </c>
      <c r="F81" s="254" t="s">
        <v>2199</v>
      </c>
      <c r="G81" s="237" t="s">
        <v>737</v>
      </c>
      <c r="H81" s="237" t="s">
        <v>2338</v>
      </c>
      <c r="I81" s="237">
        <v>26</v>
      </c>
      <c r="J81" s="238"/>
    </row>
    <row r="82" spans="2:10" ht="24" x14ac:dyDescent="0.3">
      <c r="B82" s="241" t="s">
        <v>2078</v>
      </c>
      <c r="C82" s="237" t="s">
        <v>2339</v>
      </c>
      <c r="D82" s="237" t="s">
        <v>1153</v>
      </c>
      <c r="E82" s="242" t="s">
        <v>2340</v>
      </c>
      <c r="F82" s="254" t="s">
        <v>2192</v>
      </c>
      <c r="G82" s="237" t="s">
        <v>789</v>
      </c>
      <c r="H82" s="239" t="s">
        <v>2196</v>
      </c>
      <c r="I82" s="237" t="s">
        <v>2164</v>
      </c>
      <c r="J82" s="238"/>
    </row>
    <row r="83" spans="2:10" ht="24" x14ac:dyDescent="0.3">
      <c r="B83" s="241" t="s">
        <v>2078</v>
      </c>
      <c r="C83" s="237" t="s">
        <v>2341</v>
      </c>
      <c r="D83" s="237" t="s">
        <v>1153</v>
      </c>
      <c r="E83" s="242" t="s">
        <v>2342</v>
      </c>
      <c r="F83" s="254" t="s">
        <v>2192</v>
      </c>
      <c r="G83" s="237" t="s">
        <v>979</v>
      </c>
      <c r="H83" s="237" t="s">
        <v>1361</v>
      </c>
      <c r="I83" s="237" t="s">
        <v>2164</v>
      </c>
      <c r="J83" s="238"/>
    </row>
    <row r="84" spans="2:10" ht="24" x14ac:dyDescent="0.3">
      <c r="B84" s="241" t="s">
        <v>2078</v>
      </c>
      <c r="C84" s="237" t="s">
        <v>2343</v>
      </c>
      <c r="D84" s="237" t="s">
        <v>1153</v>
      </c>
      <c r="E84" s="242" t="s">
        <v>1240</v>
      </c>
      <c r="F84" s="254" t="s">
        <v>2133</v>
      </c>
      <c r="G84" s="237" t="s">
        <v>1397</v>
      </c>
      <c r="H84" s="237" t="s">
        <v>1246</v>
      </c>
      <c r="I84" s="237" t="s">
        <v>2136</v>
      </c>
      <c r="J84" s="238"/>
    </row>
    <row r="85" spans="2:10" ht="24" x14ac:dyDescent="0.3">
      <c r="B85" s="241" t="s">
        <v>2078</v>
      </c>
      <c r="C85" s="237" t="s">
        <v>2344</v>
      </c>
      <c r="D85" s="237" t="s">
        <v>1153</v>
      </c>
      <c r="E85" s="242" t="s">
        <v>2304</v>
      </c>
      <c r="F85" s="254" t="s">
        <v>1396</v>
      </c>
      <c r="G85" s="237" t="s">
        <v>2305</v>
      </c>
      <c r="H85" s="237" t="s">
        <v>1275</v>
      </c>
      <c r="I85" s="237">
        <v>26.1</v>
      </c>
      <c r="J85" s="238"/>
    </row>
    <row r="86" spans="2:10" ht="24" x14ac:dyDescent="0.3">
      <c r="B86" s="241" t="s">
        <v>2078</v>
      </c>
      <c r="C86" s="237" t="s">
        <v>2345</v>
      </c>
      <c r="D86" s="237" t="s">
        <v>1153</v>
      </c>
      <c r="E86" s="242" t="s">
        <v>2153</v>
      </c>
      <c r="F86" s="254" t="s">
        <v>2154</v>
      </c>
      <c r="G86" s="237" t="s">
        <v>979</v>
      </c>
      <c r="H86" s="237" t="s">
        <v>1361</v>
      </c>
      <c r="I86" s="237">
        <v>26.1</v>
      </c>
      <c r="J86" s="238"/>
    </row>
    <row r="87" spans="2:10" ht="24" x14ac:dyDescent="0.3">
      <c r="B87" s="241" t="s">
        <v>2078</v>
      </c>
      <c r="C87" s="237" t="s">
        <v>2346</v>
      </c>
      <c r="D87" s="237" t="s">
        <v>1153</v>
      </c>
      <c r="E87" s="242" t="s">
        <v>2163</v>
      </c>
      <c r="F87" s="254" t="s">
        <v>2154</v>
      </c>
      <c r="G87" s="237" t="s">
        <v>1380</v>
      </c>
      <c r="H87" s="237" t="s">
        <v>738</v>
      </c>
      <c r="I87" s="237">
        <v>26.1</v>
      </c>
      <c r="J87" s="238"/>
    </row>
    <row r="88" spans="2:10" ht="24" x14ac:dyDescent="0.3">
      <c r="B88" s="241" t="s">
        <v>2078</v>
      </c>
      <c r="C88" s="237" t="s">
        <v>2347</v>
      </c>
      <c r="D88" s="237" t="s">
        <v>1153</v>
      </c>
      <c r="E88" s="242" t="s">
        <v>2348</v>
      </c>
      <c r="F88" s="254" t="s">
        <v>2150</v>
      </c>
      <c r="G88" s="237" t="s">
        <v>1374</v>
      </c>
      <c r="H88" s="237" t="s">
        <v>1195</v>
      </c>
      <c r="I88" s="237">
        <v>26.1</v>
      </c>
      <c r="J88" s="238"/>
    </row>
    <row r="89" spans="2:10" ht="24" x14ac:dyDescent="0.3">
      <c r="B89" s="241" t="s">
        <v>2078</v>
      </c>
      <c r="C89" s="237" t="s">
        <v>2349</v>
      </c>
      <c r="D89" s="237" t="s">
        <v>1153</v>
      </c>
      <c r="E89" s="242" t="s">
        <v>2149</v>
      </c>
      <c r="F89" s="254" t="s">
        <v>2150</v>
      </c>
      <c r="G89" s="237" t="s">
        <v>979</v>
      </c>
      <c r="H89" s="237" t="s">
        <v>1361</v>
      </c>
      <c r="I89" s="237">
        <v>26.1</v>
      </c>
      <c r="J89" s="238"/>
    </row>
    <row r="90" spans="2:10" ht="24" x14ac:dyDescent="0.3">
      <c r="B90" s="241" t="s">
        <v>2078</v>
      </c>
      <c r="C90" s="237" t="s">
        <v>2350</v>
      </c>
      <c r="D90" s="237" t="s">
        <v>1153</v>
      </c>
      <c r="E90" s="242" t="s">
        <v>2166</v>
      </c>
      <c r="F90" s="254" t="s">
        <v>2150</v>
      </c>
      <c r="G90" s="237" t="s">
        <v>1380</v>
      </c>
      <c r="H90" s="237" t="s">
        <v>738</v>
      </c>
      <c r="I90" s="237">
        <v>26.1</v>
      </c>
      <c r="J90" s="238"/>
    </row>
    <row r="91" spans="2:10" ht="24" x14ac:dyDescent="0.3">
      <c r="B91" s="241" t="s">
        <v>2078</v>
      </c>
      <c r="C91" s="237" t="s">
        <v>2351</v>
      </c>
      <c r="D91" s="237" t="s">
        <v>1153</v>
      </c>
      <c r="E91" s="242" t="s">
        <v>2168</v>
      </c>
      <c r="F91" s="254" t="s">
        <v>2150</v>
      </c>
      <c r="G91" s="237" t="s">
        <v>979</v>
      </c>
      <c r="H91" s="237" t="s">
        <v>1361</v>
      </c>
      <c r="I91" s="237">
        <v>26.1</v>
      </c>
      <c r="J91" s="238"/>
    </row>
    <row r="92" spans="2:10" ht="24" x14ac:dyDescent="0.3">
      <c r="B92" s="241" t="s">
        <v>2078</v>
      </c>
      <c r="C92" s="237" t="s">
        <v>2352</v>
      </c>
      <c r="D92" s="237" t="s">
        <v>1153</v>
      </c>
      <c r="E92" s="242" t="s">
        <v>2170</v>
      </c>
      <c r="F92" s="254" t="s">
        <v>2150</v>
      </c>
      <c r="G92" s="237" t="s">
        <v>988</v>
      </c>
      <c r="H92" s="237" t="s">
        <v>2160</v>
      </c>
      <c r="I92" s="237">
        <v>26.1</v>
      </c>
      <c r="J92" s="238"/>
    </row>
    <row r="93" spans="2:10" ht="24" x14ac:dyDescent="0.3">
      <c r="B93" s="241" t="s">
        <v>2078</v>
      </c>
      <c r="C93" s="237" t="s">
        <v>2353</v>
      </c>
      <c r="D93" s="237" t="s">
        <v>1153</v>
      </c>
      <c r="E93" s="242" t="s">
        <v>2172</v>
      </c>
      <c r="F93" s="254" t="s">
        <v>2150</v>
      </c>
      <c r="G93" s="237" t="s">
        <v>2305</v>
      </c>
      <c r="H93" s="237" t="s">
        <v>1361</v>
      </c>
      <c r="I93" s="237">
        <v>26.1</v>
      </c>
      <c r="J93" s="238"/>
    </row>
    <row r="94" spans="2:10" ht="24" x14ac:dyDescent="0.3">
      <c r="B94" s="241" t="s">
        <v>2078</v>
      </c>
      <c r="C94" s="237" t="s">
        <v>2354</v>
      </c>
      <c r="D94" s="237" t="s">
        <v>1153</v>
      </c>
      <c r="E94" s="242" t="s">
        <v>2175</v>
      </c>
      <c r="F94" s="254" t="s">
        <v>2150</v>
      </c>
      <c r="G94" s="237" t="s">
        <v>2305</v>
      </c>
      <c r="H94" s="237" t="s">
        <v>1361</v>
      </c>
      <c r="I94" s="237">
        <v>26.1</v>
      </c>
      <c r="J94" s="238"/>
    </row>
    <row r="95" spans="2:10" ht="24" x14ac:dyDescent="0.3">
      <c r="B95" s="241" t="s">
        <v>2078</v>
      </c>
      <c r="C95" s="237" t="s">
        <v>2355</v>
      </c>
      <c r="D95" s="237" t="s">
        <v>1153</v>
      </c>
      <c r="E95" s="242" t="s">
        <v>2179</v>
      </c>
      <c r="F95" s="254" t="s">
        <v>2180</v>
      </c>
      <c r="G95" s="237" t="s">
        <v>979</v>
      </c>
      <c r="H95" s="237" t="s">
        <v>2181</v>
      </c>
      <c r="I95" s="237">
        <v>26.1</v>
      </c>
      <c r="J95" s="238"/>
    </row>
    <row r="96" spans="2:10" ht="24" x14ac:dyDescent="0.3">
      <c r="B96" s="241" t="s">
        <v>2078</v>
      </c>
      <c r="C96" s="237" t="s">
        <v>2356</v>
      </c>
      <c r="D96" s="237" t="s">
        <v>1153</v>
      </c>
      <c r="E96" s="242" t="s">
        <v>2321</v>
      </c>
      <c r="F96" s="254" t="s">
        <v>2180</v>
      </c>
      <c r="G96" s="237" t="s">
        <v>988</v>
      </c>
      <c r="H96" s="237" t="s">
        <v>2187</v>
      </c>
      <c r="I96" s="237">
        <v>26.1</v>
      </c>
      <c r="J96" s="238"/>
    </row>
    <row r="97" spans="2:10" ht="24" x14ac:dyDescent="0.3">
      <c r="B97" s="241" t="s">
        <v>2078</v>
      </c>
      <c r="C97" s="237" t="s">
        <v>2357</v>
      </c>
      <c r="D97" s="237" t="s">
        <v>1153</v>
      </c>
      <c r="E97" s="242" t="s">
        <v>2358</v>
      </c>
      <c r="F97" s="254" t="s">
        <v>2359</v>
      </c>
      <c r="G97" s="237" t="s">
        <v>1949</v>
      </c>
      <c r="H97" s="237" t="s">
        <v>682</v>
      </c>
      <c r="I97" s="237" t="s">
        <v>2134</v>
      </c>
      <c r="J97" s="238"/>
    </row>
    <row r="98" spans="2:10" ht="24" x14ac:dyDescent="0.3">
      <c r="B98" s="241" t="s">
        <v>2078</v>
      </c>
      <c r="C98" s="237" t="s">
        <v>2360</v>
      </c>
      <c r="D98" s="237" t="s">
        <v>1153</v>
      </c>
      <c r="E98" s="242" t="s">
        <v>2212</v>
      </c>
      <c r="F98" s="254" t="s">
        <v>1396</v>
      </c>
      <c r="G98" s="237" t="s">
        <v>2213</v>
      </c>
      <c r="H98" s="237" t="s">
        <v>1293</v>
      </c>
      <c r="I98" s="237" t="s">
        <v>2306</v>
      </c>
      <c r="J98" s="238"/>
    </row>
    <row r="99" spans="2:10" ht="24" x14ac:dyDescent="0.3">
      <c r="B99" s="250" t="s">
        <v>1959</v>
      </c>
      <c r="C99" s="251" t="s">
        <v>2361</v>
      </c>
      <c r="D99" s="251" t="s">
        <v>1153</v>
      </c>
      <c r="E99" s="252" t="s">
        <v>2362</v>
      </c>
      <c r="F99" s="255" t="s">
        <v>1396</v>
      </c>
      <c r="G99" s="251" t="s">
        <v>2213</v>
      </c>
      <c r="H99" s="251" t="s">
        <v>1293</v>
      </c>
      <c r="I99" s="251">
        <v>26.1</v>
      </c>
      <c r="J99" s="204"/>
    </row>
    <row r="100" spans="2:10" x14ac:dyDescent="0.3">
      <c r="B100" s="20"/>
      <c r="C100" s="20"/>
      <c r="D100" s="20"/>
      <c r="G100" s="20"/>
      <c r="H100" s="20"/>
    </row>
    <row r="101" spans="2:10" x14ac:dyDescent="0.3">
      <c r="B101" s="20"/>
      <c r="C101" s="20"/>
      <c r="D101" s="20"/>
      <c r="G101" s="20"/>
      <c r="H101" s="20"/>
    </row>
    <row r="102" spans="2:10" x14ac:dyDescent="0.3">
      <c r="B102" s="20"/>
      <c r="C102" s="20"/>
      <c r="D102" s="20"/>
      <c r="G102" s="20"/>
      <c r="H102" s="20"/>
    </row>
    <row r="103" spans="2:10" x14ac:dyDescent="0.3">
      <c r="B103" s="20"/>
      <c r="C103" s="20"/>
      <c r="D103" s="20"/>
      <c r="G103" s="20"/>
      <c r="H103" s="20"/>
    </row>
    <row r="104" spans="2:10" x14ac:dyDescent="0.3">
      <c r="B104" s="20"/>
      <c r="C104" s="20"/>
      <c r="D104" s="20"/>
      <c r="G104" s="20"/>
      <c r="H104" s="20"/>
    </row>
    <row r="105" spans="2:10" x14ac:dyDescent="0.3">
      <c r="B105" s="20"/>
      <c r="C105" s="20"/>
      <c r="D105" s="20"/>
      <c r="G105" s="20"/>
      <c r="H105" s="20"/>
    </row>
    <row r="106" spans="2:10" x14ac:dyDescent="0.3">
      <c r="B106" s="20"/>
      <c r="C106" s="20"/>
      <c r="D106" s="20"/>
      <c r="G106" s="20"/>
      <c r="H106" s="20"/>
    </row>
    <row r="107" spans="2:10" x14ac:dyDescent="0.3">
      <c r="B107" s="20"/>
      <c r="C107" s="20"/>
      <c r="D107" s="20"/>
      <c r="G107" s="20"/>
      <c r="H107" s="20"/>
    </row>
    <row r="108" spans="2:10" x14ac:dyDescent="0.3">
      <c r="B108" s="20"/>
      <c r="C108" s="20"/>
      <c r="D108" s="20"/>
      <c r="G108" s="20"/>
      <c r="H108" s="20"/>
    </row>
    <row r="109" spans="2:10" x14ac:dyDescent="0.3">
      <c r="B109" s="20"/>
      <c r="C109" s="20"/>
      <c r="D109" s="20"/>
      <c r="G109" s="20"/>
      <c r="H109" s="20"/>
    </row>
    <row r="110" spans="2:10" x14ac:dyDescent="0.3">
      <c r="B110" s="20"/>
      <c r="C110" s="20"/>
      <c r="D110" s="20"/>
      <c r="G110" s="20"/>
      <c r="H110" s="20"/>
    </row>
    <row r="111" spans="2:10" x14ac:dyDescent="0.3">
      <c r="B111" s="20"/>
      <c r="C111" s="20"/>
      <c r="D111" s="20"/>
      <c r="G111" s="20"/>
      <c r="H111" s="20"/>
    </row>
    <row r="112" spans="2:10" x14ac:dyDescent="0.3">
      <c r="B112" s="20"/>
      <c r="C112" s="20"/>
      <c r="D112" s="20"/>
      <c r="G112" s="20"/>
      <c r="H112" s="20"/>
    </row>
    <row r="113" spans="2:8" x14ac:dyDescent="0.3">
      <c r="B113" s="20"/>
      <c r="C113" s="20"/>
      <c r="D113" s="20"/>
      <c r="G113" s="20"/>
      <c r="H113" s="20"/>
    </row>
    <row r="114" spans="2:8" x14ac:dyDescent="0.3">
      <c r="B114" s="20"/>
      <c r="C114" s="20"/>
      <c r="D114" s="20"/>
      <c r="G114" s="20"/>
      <c r="H114" s="20"/>
    </row>
    <row r="115" spans="2:8" x14ac:dyDescent="0.3">
      <c r="B115" s="20"/>
      <c r="C115" s="20"/>
      <c r="D115" s="20"/>
      <c r="G115" s="20"/>
      <c r="H115" s="20"/>
    </row>
    <row r="116" spans="2:8" x14ac:dyDescent="0.3">
      <c r="B116" s="20"/>
      <c r="C116" s="20"/>
      <c r="D116" s="20"/>
      <c r="G116" s="20"/>
      <c r="H116" s="20"/>
    </row>
    <row r="117" spans="2:8" x14ac:dyDescent="0.3">
      <c r="B117" s="20"/>
      <c r="C117" s="20"/>
      <c r="D117" s="20"/>
      <c r="G117" s="20"/>
      <c r="H117" s="20"/>
    </row>
    <row r="118" spans="2:8" x14ac:dyDescent="0.3">
      <c r="B118" s="20"/>
      <c r="C118" s="20"/>
      <c r="D118" s="20"/>
      <c r="G118" s="20"/>
      <c r="H118" s="20"/>
    </row>
    <row r="119" spans="2:8" x14ac:dyDescent="0.3">
      <c r="B119" s="20"/>
      <c r="C119" s="20"/>
      <c r="D119" s="20"/>
      <c r="G119" s="20"/>
      <c r="H119" s="20"/>
    </row>
    <row r="120" spans="2:8" x14ac:dyDescent="0.3">
      <c r="B120" s="20"/>
      <c r="C120" s="20"/>
      <c r="D120" s="20"/>
      <c r="G120" s="20"/>
      <c r="H120" s="20"/>
    </row>
    <row r="121" spans="2:8" x14ac:dyDescent="0.3">
      <c r="B121" s="20"/>
      <c r="C121" s="20"/>
      <c r="D121" s="20"/>
      <c r="G121" s="20"/>
      <c r="H121" s="20"/>
    </row>
    <row r="122" spans="2:8" x14ac:dyDescent="0.3">
      <c r="B122" s="20"/>
      <c r="C122" s="20"/>
      <c r="D122" s="20"/>
      <c r="G122" s="20"/>
      <c r="H122" s="20"/>
    </row>
    <row r="123" spans="2:8" x14ac:dyDescent="0.3">
      <c r="B123" s="20"/>
      <c r="C123" s="20"/>
      <c r="D123" s="20"/>
      <c r="G123" s="20"/>
      <c r="H123" s="20"/>
    </row>
    <row r="124" spans="2:8" x14ac:dyDescent="0.3">
      <c r="B124" s="20"/>
      <c r="C124" s="20"/>
      <c r="D124" s="20"/>
      <c r="G124" s="20"/>
      <c r="H124" s="20"/>
    </row>
    <row r="125" spans="2:8" x14ac:dyDescent="0.3">
      <c r="B125" s="20"/>
      <c r="C125" s="20"/>
      <c r="D125" s="20"/>
      <c r="G125" s="20"/>
      <c r="H125" s="20"/>
    </row>
    <row r="126" spans="2:8" x14ac:dyDescent="0.3">
      <c r="B126" s="20"/>
      <c r="C126" s="20"/>
      <c r="D126" s="20"/>
      <c r="G126" s="20"/>
      <c r="H126" s="20"/>
    </row>
    <row r="127" spans="2:8" x14ac:dyDescent="0.3">
      <c r="B127" s="20"/>
      <c r="C127" s="20"/>
      <c r="D127" s="20"/>
      <c r="G127" s="20"/>
      <c r="H127" s="20"/>
    </row>
    <row r="128" spans="2:8" x14ac:dyDescent="0.3">
      <c r="B128" s="20"/>
      <c r="C128" s="20"/>
      <c r="D128" s="20"/>
      <c r="G128" s="20"/>
      <c r="H128" s="20"/>
    </row>
    <row r="129" spans="2:8" x14ac:dyDescent="0.3">
      <c r="B129" s="20"/>
      <c r="C129" s="20"/>
      <c r="D129" s="20"/>
      <c r="G129" s="20"/>
      <c r="H129" s="20"/>
    </row>
    <row r="130" spans="2:8" x14ac:dyDescent="0.3">
      <c r="B130" s="20"/>
      <c r="C130" s="20"/>
      <c r="D130" s="20"/>
      <c r="G130" s="20"/>
      <c r="H130" s="20"/>
    </row>
    <row r="131" spans="2:8" x14ac:dyDescent="0.3">
      <c r="B131" s="20"/>
      <c r="C131" s="20"/>
      <c r="D131" s="20"/>
      <c r="G131" s="20"/>
      <c r="H131" s="20"/>
    </row>
    <row r="132" spans="2:8" x14ac:dyDescent="0.3">
      <c r="B132" s="20"/>
      <c r="C132" s="20"/>
      <c r="D132" s="20"/>
      <c r="G132" s="20"/>
      <c r="H132" s="20"/>
    </row>
    <row r="133" spans="2:8" x14ac:dyDescent="0.3">
      <c r="B133" s="20"/>
      <c r="C133" s="20"/>
      <c r="D133" s="20"/>
      <c r="G133" s="20"/>
      <c r="H133" s="20"/>
    </row>
    <row r="134" spans="2:8" x14ac:dyDescent="0.3">
      <c r="B134" s="20"/>
      <c r="C134" s="20"/>
      <c r="D134" s="20"/>
      <c r="G134" s="20"/>
      <c r="H134" s="20"/>
    </row>
    <row r="135" spans="2:8" x14ac:dyDescent="0.3">
      <c r="B135" s="20"/>
      <c r="C135" s="20"/>
      <c r="D135" s="20"/>
      <c r="G135" s="20"/>
      <c r="H135" s="20"/>
    </row>
    <row r="136" spans="2:8" x14ac:dyDescent="0.3">
      <c r="B136" s="20"/>
      <c r="C136" s="20"/>
      <c r="D136" s="20"/>
      <c r="G136" s="20"/>
      <c r="H136" s="20"/>
    </row>
    <row r="137" spans="2:8" x14ac:dyDescent="0.3">
      <c r="B137" s="20"/>
      <c r="C137" s="20"/>
      <c r="D137" s="20"/>
      <c r="G137" s="20"/>
      <c r="H137" s="20"/>
    </row>
    <row r="138" spans="2:8" x14ac:dyDescent="0.3">
      <c r="B138" s="20"/>
      <c r="C138" s="20"/>
      <c r="D138" s="20"/>
      <c r="G138" s="20"/>
      <c r="H138" s="20"/>
    </row>
    <row r="139" spans="2:8" x14ac:dyDescent="0.3">
      <c r="B139" s="20"/>
      <c r="C139" s="20"/>
      <c r="D139" s="20"/>
      <c r="G139" s="20"/>
      <c r="H139" s="20"/>
    </row>
    <row r="140" spans="2:8" x14ac:dyDescent="0.3">
      <c r="B140" s="20"/>
      <c r="C140" s="20"/>
      <c r="D140" s="20"/>
      <c r="G140" s="20"/>
      <c r="H140" s="20"/>
    </row>
    <row r="141" spans="2:8" x14ac:dyDescent="0.3">
      <c r="B141" s="20"/>
      <c r="C141" s="20"/>
      <c r="D141" s="20"/>
      <c r="G141" s="20"/>
      <c r="H141" s="20"/>
    </row>
    <row r="142" spans="2:8" x14ac:dyDescent="0.3">
      <c r="B142" s="20"/>
      <c r="C142" s="20"/>
      <c r="D142" s="20"/>
      <c r="G142" s="20"/>
      <c r="H142" s="20"/>
    </row>
    <row r="143" spans="2:8" x14ac:dyDescent="0.3">
      <c r="B143" s="20"/>
      <c r="C143" s="20"/>
      <c r="D143" s="20"/>
      <c r="G143" s="20"/>
      <c r="H143" s="20"/>
    </row>
    <row r="144" spans="2:8" x14ac:dyDescent="0.3">
      <c r="B144" s="20"/>
      <c r="C144" s="20"/>
      <c r="D144" s="20"/>
      <c r="G144" s="20"/>
      <c r="H144" s="20"/>
    </row>
    <row r="145" spans="2:8" x14ac:dyDescent="0.3">
      <c r="B145" s="20"/>
      <c r="C145" s="20"/>
      <c r="D145" s="20"/>
      <c r="G145" s="20"/>
      <c r="H145" s="20"/>
    </row>
    <row r="146" spans="2:8" x14ac:dyDescent="0.3">
      <c r="B146" s="20"/>
      <c r="C146" s="20"/>
      <c r="D146" s="20"/>
      <c r="G146" s="20"/>
      <c r="H146" s="20"/>
    </row>
    <row r="147" spans="2:8" x14ac:dyDescent="0.3">
      <c r="B147" s="20"/>
      <c r="C147" s="20"/>
      <c r="D147" s="20"/>
      <c r="G147" s="20"/>
      <c r="H147" s="20"/>
    </row>
    <row r="148" spans="2:8" x14ac:dyDescent="0.3">
      <c r="B148" s="20"/>
      <c r="C148" s="20"/>
      <c r="D148" s="20"/>
      <c r="G148" s="20"/>
      <c r="H148" s="20"/>
    </row>
    <row r="149" spans="2:8" x14ac:dyDescent="0.3">
      <c r="B149" s="20"/>
      <c r="C149" s="20"/>
      <c r="D149" s="20"/>
      <c r="G149" s="20"/>
      <c r="H149" s="20"/>
    </row>
    <row r="150" spans="2:8" x14ac:dyDescent="0.3">
      <c r="B150" s="20"/>
      <c r="C150" s="20"/>
      <c r="D150" s="20"/>
      <c r="G150" s="20"/>
      <c r="H150" s="20"/>
    </row>
    <row r="151" spans="2:8" x14ac:dyDescent="0.3">
      <c r="B151" s="20"/>
      <c r="C151" s="20"/>
      <c r="D151" s="20"/>
      <c r="G151" s="20"/>
      <c r="H151" s="20"/>
    </row>
    <row r="152" spans="2:8" x14ac:dyDescent="0.3">
      <c r="B152" s="20"/>
      <c r="C152" s="20"/>
      <c r="D152" s="20"/>
      <c r="G152" s="20"/>
      <c r="H152" s="20"/>
    </row>
    <row r="153" spans="2:8" x14ac:dyDescent="0.3">
      <c r="B153" s="20"/>
      <c r="C153" s="20"/>
      <c r="D153" s="20"/>
      <c r="G153" s="20"/>
      <c r="H153" s="20"/>
    </row>
    <row r="154" spans="2:8" x14ac:dyDescent="0.3">
      <c r="B154" s="20"/>
      <c r="C154" s="20"/>
      <c r="D154" s="20"/>
      <c r="G154" s="20"/>
      <c r="H154" s="20"/>
    </row>
    <row r="155" spans="2:8" x14ac:dyDescent="0.3">
      <c r="B155" s="20"/>
      <c r="C155" s="20"/>
      <c r="D155" s="20"/>
      <c r="G155" s="20"/>
      <c r="H155" s="20"/>
    </row>
    <row r="156" spans="2:8" x14ac:dyDescent="0.3">
      <c r="B156" s="20"/>
      <c r="C156" s="20"/>
      <c r="D156" s="20"/>
      <c r="G156" s="20"/>
      <c r="H156" s="20"/>
    </row>
    <row r="157" spans="2:8" x14ac:dyDescent="0.3">
      <c r="B157" s="20"/>
      <c r="C157" s="20"/>
      <c r="D157" s="20"/>
      <c r="G157" s="20"/>
      <c r="H157" s="20"/>
    </row>
    <row r="158" spans="2:8" x14ac:dyDescent="0.3">
      <c r="B158" s="20"/>
      <c r="C158" s="20"/>
      <c r="D158" s="20"/>
      <c r="G158" s="20"/>
      <c r="H158" s="20"/>
    </row>
    <row r="159" spans="2:8" x14ac:dyDescent="0.3">
      <c r="B159" s="20"/>
      <c r="C159" s="20"/>
      <c r="D159" s="20"/>
      <c r="G159" s="20"/>
      <c r="H159" s="20"/>
    </row>
    <row r="160" spans="2:8" x14ac:dyDescent="0.3">
      <c r="B160" s="20"/>
      <c r="C160" s="20"/>
      <c r="D160" s="20"/>
      <c r="G160" s="20"/>
      <c r="H160" s="20"/>
    </row>
    <row r="161" spans="2:8" x14ac:dyDescent="0.3">
      <c r="B161" s="20"/>
      <c r="C161" s="20"/>
      <c r="D161" s="20"/>
      <c r="G161" s="20"/>
      <c r="H161" s="20"/>
    </row>
    <row r="162" spans="2:8" x14ac:dyDescent="0.3">
      <c r="B162" s="20"/>
      <c r="C162" s="20"/>
      <c r="D162" s="20"/>
      <c r="G162" s="20"/>
      <c r="H162" s="20"/>
    </row>
    <row r="163" spans="2:8" x14ac:dyDescent="0.3">
      <c r="B163" s="20"/>
      <c r="C163" s="20"/>
      <c r="D163" s="20"/>
      <c r="G163" s="20"/>
      <c r="H163" s="20"/>
    </row>
    <row r="164" spans="2:8" x14ac:dyDescent="0.3">
      <c r="B164" s="20"/>
      <c r="C164" s="20"/>
      <c r="D164" s="20"/>
      <c r="G164" s="20"/>
      <c r="H164" s="20"/>
    </row>
    <row r="165" spans="2:8" x14ac:dyDescent="0.3">
      <c r="B165" s="20"/>
      <c r="C165" s="20"/>
      <c r="D165" s="20"/>
      <c r="G165" s="20"/>
      <c r="H165" s="20"/>
    </row>
    <row r="166" spans="2:8" x14ac:dyDescent="0.3">
      <c r="B166" s="20"/>
      <c r="C166" s="20"/>
      <c r="D166" s="20"/>
      <c r="G166" s="20"/>
      <c r="H166" s="20"/>
    </row>
    <row r="167" spans="2:8" x14ac:dyDescent="0.3">
      <c r="B167" s="20"/>
      <c r="C167" s="20"/>
      <c r="D167" s="20"/>
      <c r="G167" s="20"/>
      <c r="H167" s="20"/>
    </row>
    <row r="168" spans="2:8" x14ac:dyDescent="0.3">
      <c r="B168" s="20"/>
      <c r="C168" s="20"/>
      <c r="D168" s="20"/>
      <c r="G168" s="20"/>
      <c r="H168" s="20"/>
    </row>
    <row r="169" spans="2:8" x14ac:dyDescent="0.3">
      <c r="B169" s="20"/>
      <c r="C169" s="20"/>
      <c r="D169" s="20"/>
      <c r="G169" s="20"/>
      <c r="H169" s="20"/>
    </row>
    <row r="170" spans="2:8" x14ac:dyDescent="0.3">
      <c r="B170" s="20"/>
      <c r="C170" s="20"/>
      <c r="D170" s="20"/>
      <c r="G170" s="20"/>
      <c r="H170" s="20"/>
    </row>
    <row r="171" spans="2:8" x14ac:dyDescent="0.3">
      <c r="B171" s="20"/>
      <c r="C171" s="20"/>
      <c r="D171" s="20"/>
      <c r="G171" s="20"/>
      <c r="H171" s="20"/>
    </row>
    <row r="172" spans="2:8" x14ac:dyDescent="0.3">
      <c r="B172" s="20"/>
      <c r="C172" s="20"/>
      <c r="D172" s="20"/>
      <c r="G172" s="20"/>
      <c r="H172" s="20"/>
    </row>
    <row r="173" spans="2:8" x14ac:dyDescent="0.3">
      <c r="B173" s="20"/>
      <c r="C173" s="20"/>
      <c r="D173" s="20"/>
      <c r="G173" s="20"/>
      <c r="H173" s="20"/>
    </row>
    <row r="174" spans="2:8" x14ac:dyDescent="0.3">
      <c r="B174" s="20"/>
      <c r="C174" s="20"/>
      <c r="D174" s="20"/>
      <c r="G174" s="20"/>
      <c r="H174" s="20"/>
    </row>
    <row r="175" spans="2:8" x14ac:dyDescent="0.3">
      <c r="B175" s="20"/>
      <c r="C175" s="20"/>
      <c r="D175" s="20"/>
      <c r="G175" s="20"/>
      <c r="H175" s="20"/>
    </row>
    <row r="176" spans="2:8" x14ac:dyDescent="0.3">
      <c r="B176" s="20"/>
      <c r="C176" s="20"/>
      <c r="D176" s="20"/>
      <c r="G176" s="20"/>
      <c r="H176" s="20"/>
    </row>
    <row r="177" spans="2:8" x14ac:dyDescent="0.3">
      <c r="B177" s="20"/>
      <c r="C177" s="20"/>
      <c r="D177" s="20"/>
      <c r="G177" s="20"/>
      <c r="H177" s="20"/>
    </row>
    <row r="178" spans="2:8" x14ac:dyDescent="0.3">
      <c r="B178" s="20"/>
      <c r="C178" s="20"/>
      <c r="D178" s="20"/>
      <c r="G178" s="20"/>
      <c r="H178" s="20"/>
    </row>
    <row r="179" spans="2:8" x14ac:dyDescent="0.3">
      <c r="B179" s="20"/>
      <c r="C179" s="20"/>
      <c r="D179" s="20"/>
      <c r="G179" s="20"/>
      <c r="H179" s="20"/>
    </row>
    <row r="180" spans="2:8" x14ac:dyDescent="0.3">
      <c r="B180" s="20"/>
      <c r="C180" s="20"/>
      <c r="D180" s="20"/>
      <c r="G180" s="20"/>
      <c r="H180" s="20"/>
    </row>
    <row r="181" spans="2:8" x14ac:dyDescent="0.3">
      <c r="B181" s="20"/>
      <c r="C181" s="20"/>
      <c r="D181" s="20"/>
      <c r="G181" s="20"/>
      <c r="H181" s="20"/>
    </row>
    <row r="182" spans="2:8" x14ac:dyDescent="0.3">
      <c r="B182" s="20"/>
      <c r="C182" s="20"/>
      <c r="D182" s="20"/>
      <c r="G182" s="20"/>
      <c r="H182" s="20"/>
    </row>
    <row r="183" spans="2:8" x14ac:dyDescent="0.3">
      <c r="B183" s="20"/>
      <c r="C183" s="20"/>
      <c r="D183" s="20"/>
      <c r="G183" s="20"/>
      <c r="H183" s="20"/>
    </row>
    <row r="184" spans="2:8" x14ac:dyDescent="0.3">
      <c r="B184" s="20"/>
      <c r="C184" s="20"/>
      <c r="D184" s="20"/>
      <c r="G184" s="20"/>
      <c r="H184" s="20"/>
    </row>
    <row r="185" spans="2:8" x14ac:dyDescent="0.3">
      <c r="B185" s="20"/>
      <c r="C185" s="20"/>
      <c r="D185" s="20"/>
      <c r="G185" s="20"/>
      <c r="H185" s="20"/>
    </row>
    <row r="186" spans="2:8" x14ac:dyDescent="0.3">
      <c r="B186" s="20"/>
      <c r="C186" s="20"/>
      <c r="D186" s="20"/>
      <c r="G186" s="20"/>
      <c r="H186" s="20"/>
    </row>
    <row r="187" spans="2:8" x14ac:dyDescent="0.3">
      <c r="B187" s="20"/>
      <c r="C187" s="20"/>
      <c r="D187" s="20"/>
      <c r="G187" s="20"/>
      <c r="H187" s="20"/>
    </row>
    <row r="188" spans="2:8" x14ac:dyDescent="0.3">
      <c r="B188" s="20"/>
      <c r="C188" s="20"/>
      <c r="D188" s="20"/>
      <c r="G188" s="20"/>
      <c r="H188" s="20"/>
    </row>
    <row r="189" spans="2:8" x14ac:dyDescent="0.3">
      <c r="B189" s="20"/>
      <c r="C189" s="20"/>
      <c r="D189" s="20"/>
      <c r="G189" s="20"/>
      <c r="H189" s="20"/>
    </row>
    <row r="190" spans="2:8" x14ac:dyDescent="0.3">
      <c r="B190" s="20"/>
      <c r="C190" s="20"/>
      <c r="D190" s="20"/>
      <c r="G190" s="20"/>
      <c r="H190" s="20"/>
    </row>
    <row r="191" spans="2:8" x14ac:dyDescent="0.3">
      <c r="B191" s="20"/>
      <c r="C191" s="20"/>
      <c r="D191" s="20"/>
      <c r="G191" s="20"/>
      <c r="H191" s="20"/>
    </row>
    <row r="192" spans="2:8" x14ac:dyDescent="0.3">
      <c r="B192" s="20"/>
      <c r="C192" s="20"/>
      <c r="D192" s="20"/>
      <c r="G192" s="20"/>
      <c r="H192" s="20"/>
    </row>
    <row r="193" spans="2:8" x14ac:dyDescent="0.3">
      <c r="B193" s="20"/>
      <c r="C193" s="20"/>
      <c r="D193" s="20"/>
      <c r="G193" s="20"/>
      <c r="H193" s="20"/>
    </row>
    <row r="194" spans="2:8" x14ac:dyDescent="0.3">
      <c r="B194" s="20"/>
      <c r="C194" s="20"/>
      <c r="D194" s="20"/>
      <c r="G194" s="20"/>
      <c r="H194" s="20"/>
    </row>
    <row r="195" spans="2:8" x14ac:dyDescent="0.3">
      <c r="B195" s="20"/>
      <c r="C195" s="20"/>
      <c r="D195" s="20"/>
      <c r="G195" s="20"/>
      <c r="H195" s="20"/>
    </row>
    <row r="196" spans="2:8" x14ac:dyDescent="0.3">
      <c r="B196" s="20"/>
      <c r="C196" s="20"/>
      <c r="D196" s="20"/>
      <c r="G196" s="20"/>
      <c r="H196" s="20"/>
    </row>
    <row r="197" spans="2:8" x14ac:dyDescent="0.3">
      <c r="B197" s="20"/>
      <c r="C197" s="20"/>
      <c r="D197" s="20"/>
      <c r="G197" s="20"/>
      <c r="H197" s="20"/>
    </row>
    <row r="198" spans="2:8" x14ac:dyDescent="0.3">
      <c r="B198" s="20"/>
      <c r="C198" s="20"/>
      <c r="D198" s="20"/>
      <c r="G198" s="20"/>
      <c r="H198" s="20"/>
    </row>
    <row r="199" spans="2:8" x14ac:dyDescent="0.3">
      <c r="B199" s="20"/>
      <c r="C199" s="20"/>
      <c r="D199" s="20"/>
      <c r="G199" s="20"/>
      <c r="H199" s="20"/>
    </row>
    <row r="200" spans="2:8" x14ac:dyDescent="0.3">
      <c r="B200" s="20"/>
      <c r="C200" s="20"/>
      <c r="D200" s="20"/>
      <c r="G200" s="20"/>
      <c r="H200" s="20"/>
    </row>
    <row r="201" spans="2:8" x14ac:dyDescent="0.3">
      <c r="B201" s="20"/>
      <c r="C201" s="20"/>
      <c r="D201" s="20"/>
      <c r="G201" s="20"/>
      <c r="H201" s="20"/>
    </row>
    <row r="202" spans="2:8" x14ac:dyDescent="0.3">
      <c r="B202" s="20"/>
      <c r="C202" s="20"/>
      <c r="D202" s="20"/>
      <c r="G202" s="20"/>
      <c r="H202" s="20"/>
    </row>
    <row r="203" spans="2:8" x14ac:dyDescent="0.3">
      <c r="B203" s="20"/>
      <c r="C203" s="20"/>
      <c r="D203" s="20"/>
      <c r="G203" s="20"/>
      <c r="H203" s="20"/>
    </row>
    <row r="204" spans="2:8" x14ac:dyDescent="0.3">
      <c r="B204" s="20"/>
      <c r="C204" s="20"/>
      <c r="D204" s="20"/>
      <c r="G204" s="20"/>
      <c r="H204" s="20"/>
    </row>
    <row r="205" spans="2:8" x14ac:dyDescent="0.3">
      <c r="B205" s="20"/>
      <c r="C205" s="20"/>
      <c r="D205" s="20"/>
      <c r="G205" s="20"/>
      <c r="H205" s="20"/>
    </row>
    <row r="206" spans="2:8" x14ac:dyDescent="0.3">
      <c r="B206" s="20"/>
      <c r="C206" s="20"/>
      <c r="D206" s="20"/>
      <c r="G206" s="20"/>
      <c r="H206" s="20"/>
    </row>
    <row r="207" spans="2:8" x14ac:dyDescent="0.3">
      <c r="B207" s="20"/>
      <c r="C207" s="20"/>
      <c r="D207" s="20"/>
      <c r="G207" s="20"/>
      <c r="H207" s="20"/>
    </row>
    <row r="208" spans="2:8" x14ac:dyDescent="0.3">
      <c r="B208" s="20"/>
      <c r="C208" s="20"/>
      <c r="D208" s="20"/>
      <c r="G208" s="20"/>
      <c r="H208" s="20"/>
    </row>
    <row r="209" spans="2:8" x14ac:dyDescent="0.3">
      <c r="B209" s="20"/>
      <c r="C209" s="20"/>
      <c r="D209" s="20"/>
      <c r="G209" s="20"/>
      <c r="H209" s="20"/>
    </row>
    <row r="210" spans="2:8" x14ac:dyDescent="0.3">
      <c r="B210" s="20"/>
      <c r="C210" s="20"/>
      <c r="D210" s="20"/>
      <c r="G210" s="20"/>
      <c r="H210" s="20"/>
    </row>
    <row r="211" spans="2:8" x14ac:dyDescent="0.3">
      <c r="B211" s="20"/>
      <c r="C211" s="20"/>
      <c r="D211" s="20"/>
      <c r="G211" s="20"/>
      <c r="H211" s="20"/>
    </row>
    <row r="212" spans="2:8" x14ac:dyDescent="0.3">
      <c r="B212" s="20"/>
      <c r="C212" s="20"/>
      <c r="D212" s="20"/>
      <c r="G212" s="20"/>
      <c r="H212" s="20"/>
    </row>
    <row r="213" spans="2:8" x14ac:dyDescent="0.3">
      <c r="B213" s="20"/>
      <c r="C213" s="20"/>
      <c r="D213" s="20"/>
      <c r="G213" s="20"/>
      <c r="H213" s="20"/>
    </row>
    <row r="214" spans="2:8" x14ac:dyDescent="0.3">
      <c r="B214" s="20"/>
      <c r="C214" s="20"/>
      <c r="D214" s="20"/>
      <c r="G214" s="20"/>
      <c r="H214" s="20"/>
    </row>
    <row r="215" spans="2:8" x14ac:dyDescent="0.3">
      <c r="B215" s="20"/>
      <c r="C215" s="20"/>
      <c r="D215" s="20"/>
      <c r="G215" s="20"/>
      <c r="H215" s="20"/>
    </row>
    <row r="216" spans="2:8" x14ac:dyDescent="0.3">
      <c r="B216" s="20"/>
      <c r="C216" s="20"/>
      <c r="D216" s="20"/>
      <c r="G216" s="20"/>
      <c r="H216" s="20"/>
    </row>
    <row r="217" spans="2:8" x14ac:dyDescent="0.3">
      <c r="B217" s="20"/>
      <c r="C217" s="20"/>
      <c r="D217" s="20"/>
      <c r="G217" s="20"/>
      <c r="H217" s="20"/>
    </row>
    <row r="218" spans="2:8" x14ac:dyDescent="0.3">
      <c r="B218" s="20"/>
      <c r="C218" s="20"/>
      <c r="D218" s="20"/>
      <c r="G218" s="20"/>
      <c r="H218" s="20"/>
    </row>
    <row r="219" spans="2:8" x14ac:dyDescent="0.3">
      <c r="B219" s="20"/>
      <c r="C219" s="20"/>
      <c r="D219" s="20"/>
      <c r="G219" s="20"/>
      <c r="H219" s="20"/>
    </row>
    <row r="220" spans="2:8" x14ac:dyDescent="0.3">
      <c r="B220" s="20"/>
      <c r="C220" s="20"/>
      <c r="D220" s="20"/>
      <c r="G220" s="20"/>
      <c r="H220" s="20"/>
    </row>
    <row r="221" spans="2:8" x14ac:dyDescent="0.3">
      <c r="B221" s="20"/>
      <c r="C221" s="20"/>
      <c r="D221" s="20"/>
      <c r="G221" s="20"/>
      <c r="H221" s="20"/>
    </row>
    <row r="222" spans="2:8" x14ac:dyDescent="0.3">
      <c r="B222" s="20"/>
      <c r="C222" s="20"/>
      <c r="D222" s="20"/>
      <c r="G222" s="20"/>
      <c r="H222" s="20"/>
    </row>
    <row r="223" spans="2:8" x14ac:dyDescent="0.3">
      <c r="B223" s="20"/>
      <c r="C223" s="20"/>
      <c r="D223" s="20"/>
      <c r="G223" s="20"/>
      <c r="H223" s="20"/>
    </row>
    <row r="224" spans="2:8" x14ac:dyDescent="0.3">
      <c r="B224" s="20"/>
      <c r="C224" s="20"/>
      <c r="D224" s="20"/>
      <c r="G224" s="20"/>
      <c r="H224" s="20"/>
    </row>
    <row r="225" spans="2:8" x14ac:dyDescent="0.3">
      <c r="B225" s="20"/>
      <c r="C225" s="20"/>
      <c r="D225" s="20"/>
      <c r="G225" s="20"/>
      <c r="H225" s="20"/>
    </row>
    <row r="226" spans="2:8" x14ac:dyDescent="0.3">
      <c r="B226" s="20"/>
      <c r="C226" s="20"/>
      <c r="D226" s="20"/>
      <c r="G226" s="20"/>
      <c r="H226" s="20"/>
    </row>
    <row r="227" spans="2:8" x14ac:dyDescent="0.3">
      <c r="B227" s="20"/>
      <c r="C227" s="20"/>
      <c r="D227" s="20"/>
      <c r="G227" s="20"/>
      <c r="H227" s="20"/>
    </row>
    <row r="228" spans="2:8" x14ac:dyDescent="0.3">
      <c r="B228" s="20"/>
      <c r="C228" s="20"/>
      <c r="D228" s="20"/>
      <c r="G228" s="20"/>
      <c r="H228" s="20"/>
    </row>
    <row r="229" spans="2:8" x14ac:dyDescent="0.3">
      <c r="B229" s="20"/>
      <c r="C229" s="20"/>
      <c r="D229" s="20"/>
      <c r="G229" s="20"/>
      <c r="H229" s="20"/>
    </row>
    <row r="230" spans="2:8" x14ac:dyDescent="0.3">
      <c r="B230" s="20"/>
      <c r="C230" s="20"/>
      <c r="D230" s="20"/>
      <c r="G230" s="20"/>
      <c r="H230" s="20"/>
    </row>
    <row r="231" spans="2:8" x14ac:dyDescent="0.3">
      <c r="B231" s="20"/>
      <c r="C231" s="20"/>
      <c r="D231" s="20"/>
      <c r="G231" s="20"/>
      <c r="H231" s="20"/>
    </row>
    <row r="232" spans="2:8" x14ac:dyDescent="0.3">
      <c r="B232" s="20"/>
      <c r="C232" s="20"/>
      <c r="D232" s="20"/>
      <c r="G232" s="20"/>
      <c r="H232" s="20"/>
    </row>
    <row r="233" spans="2:8" x14ac:dyDescent="0.3">
      <c r="B233" s="20"/>
      <c r="C233" s="20"/>
      <c r="D233" s="20"/>
      <c r="G233" s="20"/>
      <c r="H233" s="20"/>
    </row>
    <row r="234" spans="2:8" x14ac:dyDescent="0.3">
      <c r="B234" s="20"/>
      <c r="C234" s="20"/>
      <c r="D234" s="20"/>
      <c r="G234" s="20"/>
      <c r="H234" s="20"/>
    </row>
    <row r="235" spans="2:8" x14ac:dyDescent="0.3">
      <c r="B235" s="20"/>
      <c r="C235" s="20"/>
      <c r="D235" s="20"/>
      <c r="G235" s="20"/>
      <c r="H235" s="20"/>
    </row>
    <row r="236" spans="2:8" x14ac:dyDescent="0.3">
      <c r="B236" s="20"/>
      <c r="C236" s="20"/>
      <c r="D236" s="20"/>
      <c r="G236" s="20"/>
      <c r="H236" s="20"/>
    </row>
    <row r="237" spans="2:8" x14ac:dyDescent="0.3">
      <c r="B237" s="20"/>
      <c r="C237" s="20"/>
      <c r="D237" s="20"/>
      <c r="G237" s="20"/>
      <c r="H237" s="20"/>
    </row>
    <row r="238" spans="2:8" x14ac:dyDescent="0.3">
      <c r="B238" s="20"/>
      <c r="C238" s="20"/>
      <c r="D238" s="20"/>
      <c r="G238" s="20"/>
      <c r="H238" s="20"/>
    </row>
    <row r="239" spans="2:8" x14ac:dyDescent="0.3">
      <c r="B239" s="20"/>
      <c r="C239" s="20"/>
      <c r="D239" s="20"/>
      <c r="G239" s="20"/>
      <c r="H239" s="20"/>
    </row>
    <row r="240" spans="2:8" x14ac:dyDescent="0.3">
      <c r="B240" s="20"/>
      <c r="C240" s="20"/>
      <c r="D240" s="20"/>
      <c r="G240" s="20"/>
      <c r="H240" s="20"/>
    </row>
    <row r="241" spans="2:8" x14ac:dyDescent="0.3">
      <c r="B241" s="20"/>
      <c r="C241" s="20"/>
      <c r="D241" s="20"/>
      <c r="G241" s="20"/>
      <c r="H241" s="20"/>
    </row>
    <row r="242" spans="2:8" x14ac:dyDescent="0.3">
      <c r="B242" s="20"/>
      <c r="C242" s="20"/>
      <c r="D242" s="20"/>
      <c r="G242" s="20"/>
      <c r="H242" s="20"/>
    </row>
    <row r="243" spans="2:8" x14ac:dyDescent="0.3">
      <c r="B243" s="20"/>
      <c r="C243" s="20"/>
      <c r="D243" s="20"/>
      <c r="G243" s="20"/>
      <c r="H243" s="20"/>
    </row>
    <row r="244" spans="2:8" x14ac:dyDescent="0.3">
      <c r="B244" s="20"/>
      <c r="C244" s="20"/>
      <c r="D244" s="20"/>
      <c r="G244" s="20"/>
      <c r="H244" s="20"/>
    </row>
    <row r="245" spans="2:8" x14ac:dyDescent="0.3">
      <c r="B245" s="20"/>
      <c r="C245" s="20"/>
      <c r="D245" s="20"/>
      <c r="G245" s="20"/>
      <c r="H245" s="20"/>
    </row>
    <row r="246" spans="2:8" x14ac:dyDescent="0.3">
      <c r="B246" s="20"/>
      <c r="C246" s="20"/>
      <c r="D246" s="20"/>
      <c r="G246" s="20"/>
      <c r="H246" s="20"/>
    </row>
    <row r="247" spans="2:8" x14ac:dyDescent="0.3">
      <c r="B247" s="20"/>
      <c r="C247" s="20"/>
      <c r="D247" s="20"/>
      <c r="G247" s="20"/>
      <c r="H247" s="20"/>
    </row>
    <row r="248" spans="2:8" x14ac:dyDescent="0.3">
      <c r="B248" s="20"/>
      <c r="C248" s="20"/>
      <c r="D248" s="20"/>
      <c r="G248" s="20"/>
      <c r="H248" s="20"/>
    </row>
    <row r="249" spans="2:8" x14ac:dyDescent="0.3">
      <c r="B249" s="20"/>
      <c r="C249" s="20"/>
      <c r="D249" s="20"/>
      <c r="G249" s="20"/>
      <c r="H249" s="20"/>
    </row>
    <row r="250" spans="2:8" x14ac:dyDescent="0.3">
      <c r="B250" s="20"/>
      <c r="C250" s="20"/>
      <c r="D250" s="20"/>
      <c r="G250" s="20"/>
      <c r="H250" s="20"/>
    </row>
    <row r="251" spans="2:8" x14ac:dyDescent="0.3">
      <c r="B251" s="20"/>
      <c r="C251" s="20"/>
      <c r="D251" s="20"/>
      <c r="G251" s="20"/>
      <c r="H251" s="20"/>
    </row>
    <row r="252" spans="2:8" x14ac:dyDescent="0.3">
      <c r="B252" s="20"/>
      <c r="C252" s="20"/>
      <c r="D252" s="20"/>
      <c r="G252" s="20"/>
      <c r="H252" s="20"/>
    </row>
    <row r="253" spans="2:8" x14ac:dyDescent="0.3">
      <c r="B253" s="20"/>
      <c r="C253" s="20"/>
      <c r="D253" s="20"/>
      <c r="G253" s="20"/>
      <c r="H253" s="20"/>
    </row>
    <row r="254" spans="2:8" x14ac:dyDescent="0.3">
      <c r="B254" s="20"/>
      <c r="C254" s="20"/>
      <c r="D254" s="20"/>
      <c r="G254" s="20"/>
      <c r="H254" s="20"/>
    </row>
    <row r="255" spans="2:8" x14ac:dyDescent="0.3">
      <c r="B255" s="20"/>
      <c r="C255" s="20"/>
      <c r="D255" s="20"/>
      <c r="G255" s="20"/>
      <c r="H255" s="20"/>
    </row>
    <row r="256" spans="2:8" x14ac:dyDescent="0.3">
      <c r="B256" s="20"/>
      <c r="C256" s="20"/>
      <c r="D256" s="20"/>
      <c r="G256" s="20"/>
      <c r="H256" s="20"/>
    </row>
    <row r="257" spans="2:8" x14ac:dyDescent="0.3">
      <c r="B257" s="20"/>
      <c r="C257" s="20"/>
      <c r="D257" s="20"/>
      <c r="G257" s="20"/>
      <c r="H257" s="20"/>
    </row>
    <row r="258" spans="2:8" x14ac:dyDescent="0.3">
      <c r="B258" s="20"/>
      <c r="C258" s="20"/>
      <c r="D258" s="20"/>
      <c r="G258" s="20"/>
      <c r="H258" s="20"/>
    </row>
    <row r="259" spans="2:8" x14ac:dyDescent="0.3">
      <c r="B259" s="20"/>
      <c r="C259" s="20"/>
      <c r="D259" s="20"/>
      <c r="G259" s="20"/>
      <c r="H259" s="20"/>
    </row>
    <row r="260" spans="2:8" x14ac:dyDescent="0.3">
      <c r="B260" s="20"/>
      <c r="C260" s="20"/>
      <c r="D260" s="20"/>
      <c r="G260" s="20"/>
      <c r="H260" s="20"/>
    </row>
    <row r="261" spans="2:8" x14ac:dyDescent="0.3">
      <c r="B261" s="20"/>
      <c r="C261" s="20"/>
      <c r="D261" s="20"/>
      <c r="G261" s="20"/>
      <c r="H261" s="20"/>
    </row>
    <row r="262" spans="2:8" x14ac:dyDescent="0.3">
      <c r="B262" s="20"/>
      <c r="C262" s="20"/>
      <c r="D262" s="20"/>
      <c r="G262" s="20"/>
      <c r="H262" s="20"/>
    </row>
    <row r="263" spans="2:8" x14ac:dyDescent="0.3">
      <c r="B263" s="20"/>
      <c r="C263" s="20"/>
      <c r="D263" s="20"/>
      <c r="G263" s="20"/>
      <c r="H263" s="20"/>
    </row>
    <row r="264" spans="2:8" x14ac:dyDescent="0.3">
      <c r="B264" s="20"/>
      <c r="C264" s="20"/>
      <c r="D264" s="20"/>
      <c r="G264" s="20"/>
      <c r="H264" s="20"/>
    </row>
    <row r="265" spans="2:8" x14ac:dyDescent="0.3">
      <c r="B265" s="20"/>
      <c r="C265" s="20"/>
      <c r="D265" s="20"/>
      <c r="G265" s="20"/>
      <c r="H265" s="20"/>
    </row>
    <row r="266" spans="2:8" x14ac:dyDescent="0.3">
      <c r="B266" s="20"/>
      <c r="C266" s="20"/>
      <c r="D266" s="20"/>
      <c r="G266" s="20"/>
      <c r="H266" s="20"/>
    </row>
    <row r="267" spans="2:8" x14ac:dyDescent="0.3">
      <c r="B267" s="20"/>
      <c r="C267" s="20"/>
      <c r="D267" s="20"/>
      <c r="G267" s="20"/>
      <c r="H267" s="20"/>
    </row>
    <row r="268" spans="2:8" x14ac:dyDescent="0.3">
      <c r="B268" s="20"/>
      <c r="C268" s="20"/>
      <c r="D268" s="20"/>
      <c r="G268" s="20"/>
      <c r="H268" s="20"/>
    </row>
    <row r="269" spans="2:8" x14ac:dyDescent="0.3">
      <c r="B269" s="20"/>
      <c r="C269" s="20"/>
      <c r="D269" s="20"/>
      <c r="G269" s="20"/>
      <c r="H269" s="20"/>
    </row>
    <row r="270" spans="2:8" x14ac:dyDescent="0.3">
      <c r="B270" s="20"/>
      <c r="C270" s="20"/>
      <c r="D270" s="20"/>
      <c r="G270" s="20"/>
      <c r="H270" s="20"/>
    </row>
    <row r="271" spans="2:8" x14ac:dyDescent="0.3">
      <c r="B271" s="20"/>
      <c r="C271" s="20"/>
      <c r="D271" s="20"/>
      <c r="G271" s="20"/>
      <c r="H271" s="20"/>
    </row>
  </sheetData>
  <autoFilter ref="B6:J54"/>
  <sortState ref="B7:J53">
    <sortCondition ref="B7:B53"/>
  </sortState>
  <mergeCells count="1">
    <mergeCell ref="B2:J3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67"/>
  <sheetViews>
    <sheetView showGridLines="0" workbookViewId="0">
      <selection activeCell="H66" sqref="B7:H66"/>
    </sheetView>
  </sheetViews>
  <sheetFormatPr defaultRowHeight="16.5" x14ac:dyDescent="0.3"/>
  <cols>
    <col min="1" max="1" width="0.625" customWidth="1"/>
    <col min="2" max="3" width="9" style="19"/>
    <col min="4" max="4" width="38.875" style="20" customWidth="1"/>
    <col min="5" max="5" width="34.125" style="211" bestFit="1" customWidth="1"/>
    <col min="7" max="7" width="11.5" bestFit="1" customWidth="1"/>
    <col min="8" max="8" width="10.875" style="41" customWidth="1"/>
    <col min="9" max="9" width="27.375" style="20" customWidth="1"/>
  </cols>
  <sheetData>
    <row r="1" spans="2:9" ht="4.5" customHeight="1" x14ac:dyDescent="0.3"/>
    <row r="2" spans="2:9" x14ac:dyDescent="0.3">
      <c r="B2" s="368" t="s">
        <v>2363</v>
      </c>
      <c r="C2" s="368"/>
      <c r="D2" s="368"/>
      <c r="E2" s="368"/>
      <c r="F2" s="368"/>
      <c r="G2" s="368"/>
      <c r="H2" s="368"/>
      <c r="I2" s="368"/>
    </row>
    <row r="3" spans="2:9" x14ac:dyDescent="0.3">
      <c r="B3" s="368"/>
      <c r="C3" s="368"/>
      <c r="D3" s="368"/>
      <c r="E3" s="368"/>
      <c r="F3" s="368"/>
      <c r="G3" s="368"/>
      <c r="H3" s="368"/>
      <c r="I3" s="368"/>
    </row>
    <row r="4" spans="2:9" ht="17.25" thickBot="1" x14ac:dyDescent="0.35"/>
    <row r="5" spans="2:9" s="18" customFormat="1" ht="18.75" customHeight="1" thickBot="1" x14ac:dyDescent="0.35">
      <c r="B5" s="43"/>
      <c r="C5" s="44"/>
      <c r="D5" s="44"/>
      <c r="E5" s="212"/>
      <c r="F5" s="44"/>
      <c r="G5" s="44"/>
      <c r="H5" s="45" t="s">
        <v>1462</v>
      </c>
      <c r="I5" s="46">
        <v>45541</v>
      </c>
    </row>
    <row r="6" spans="2:9" s="15" customFormat="1" ht="18.75" customHeight="1" thickTop="1" x14ac:dyDescent="0.3">
      <c r="B6" s="198" t="s">
        <v>2364</v>
      </c>
      <c r="C6" s="199" t="s">
        <v>458</v>
      </c>
      <c r="D6" s="199" t="s">
        <v>1465</v>
      </c>
      <c r="E6" s="215" t="s">
        <v>1466</v>
      </c>
      <c r="F6" s="199" t="s">
        <v>1467</v>
      </c>
      <c r="G6" s="199" t="s">
        <v>1468</v>
      </c>
      <c r="H6" s="200" t="s">
        <v>468</v>
      </c>
      <c r="I6" s="201" t="s">
        <v>471</v>
      </c>
    </row>
    <row r="7" spans="2:9" ht="27" x14ac:dyDescent="0.3">
      <c r="B7" s="194" t="s">
        <v>1960</v>
      </c>
      <c r="C7" s="21" t="s">
        <v>1061</v>
      </c>
      <c r="D7" s="40" t="s">
        <v>1961</v>
      </c>
      <c r="E7" s="42" t="s">
        <v>595</v>
      </c>
      <c r="F7" s="21" t="s">
        <v>1699</v>
      </c>
      <c r="G7" s="21" t="s">
        <v>1962</v>
      </c>
      <c r="H7" s="21" t="s">
        <v>2365</v>
      </c>
      <c r="I7" s="49"/>
    </row>
    <row r="8" spans="2:9" ht="27" x14ac:dyDescent="0.3">
      <c r="B8" s="194" t="s">
        <v>1963</v>
      </c>
      <c r="C8" s="21" t="s">
        <v>1479</v>
      </c>
      <c r="D8" s="40" t="s">
        <v>1964</v>
      </c>
      <c r="E8" s="42" t="s">
        <v>595</v>
      </c>
      <c r="F8" s="21" t="s">
        <v>524</v>
      </c>
      <c r="G8" s="21" t="s">
        <v>1965</v>
      </c>
      <c r="H8" s="21" t="s">
        <v>2366</v>
      </c>
      <c r="I8" s="49"/>
    </row>
    <row r="9" spans="2:9" ht="27" x14ac:dyDescent="0.3">
      <c r="B9" s="194" t="s">
        <v>1966</v>
      </c>
      <c r="C9" s="21" t="s">
        <v>1967</v>
      </c>
      <c r="D9" s="40" t="s">
        <v>1968</v>
      </c>
      <c r="E9" s="42" t="s">
        <v>1969</v>
      </c>
      <c r="F9" s="21" t="s">
        <v>524</v>
      </c>
      <c r="G9" s="21" t="s">
        <v>525</v>
      </c>
      <c r="H9" s="21" t="s">
        <v>2365</v>
      </c>
      <c r="I9" s="49"/>
    </row>
    <row r="10" spans="2:9" ht="27" x14ac:dyDescent="0.3">
      <c r="B10" s="194" t="s">
        <v>1970</v>
      </c>
      <c r="C10" s="21" t="s">
        <v>1479</v>
      </c>
      <c r="D10" s="40" t="s">
        <v>1476</v>
      </c>
      <c r="E10" s="42" t="s">
        <v>619</v>
      </c>
      <c r="F10" s="21" t="s">
        <v>524</v>
      </c>
      <c r="G10" s="21" t="s">
        <v>643</v>
      </c>
      <c r="H10" s="21" t="s">
        <v>2366</v>
      </c>
      <c r="I10" s="49"/>
    </row>
    <row r="11" spans="2:9" x14ac:dyDescent="0.3">
      <c r="B11" s="194" t="s">
        <v>1971</v>
      </c>
      <c r="C11" s="21" t="s">
        <v>1471</v>
      </c>
      <c r="D11" s="40" t="s">
        <v>589</v>
      </c>
      <c r="E11" s="42" t="s">
        <v>1972</v>
      </c>
      <c r="F11" s="21" t="s">
        <v>537</v>
      </c>
      <c r="G11" s="21" t="s">
        <v>525</v>
      </c>
      <c r="H11" s="21" t="s">
        <v>2367</v>
      </c>
      <c r="I11" s="49"/>
    </row>
    <row r="12" spans="2:9" x14ac:dyDescent="0.3">
      <c r="B12" s="194" t="s">
        <v>1973</v>
      </c>
      <c r="C12" s="21" t="s">
        <v>1471</v>
      </c>
      <c r="D12" s="40" t="s">
        <v>1472</v>
      </c>
      <c r="E12" s="42" t="s">
        <v>1974</v>
      </c>
      <c r="F12" s="21" t="s">
        <v>995</v>
      </c>
      <c r="G12" s="21" t="s">
        <v>638</v>
      </c>
      <c r="H12" s="21" t="s">
        <v>2367</v>
      </c>
      <c r="I12" s="49"/>
    </row>
    <row r="13" spans="2:9" x14ac:dyDescent="0.3">
      <c r="B13" s="194" t="s">
        <v>1975</v>
      </c>
      <c r="C13" s="21" t="s">
        <v>1471</v>
      </c>
      <c r="D13" s="40" t="s">
        <v>1487</v>
      </c>
      <c r="E13" s="42" t="s">
        <v>634</v>
      </c>
      <c r="F13" s="21" t="s">
        <v>1397</v>
      </c>
      <c r="G13" s="21" t="s">
        <v>638</v>
      </c>
      <c r="H13" s="21" t="s">
        <v>2367</v>
      </c>
      <c r="I13" s="49"/>
    </row>
    <row r="14" spans="2:9" x14ac:dyDescent="0.3">
      <c r="B14" s="194" t="s">
        <v>1976</v>
      </c>
      <c r="C14" s="21" t="s">
        <v>1479</v>
      </c>
      <c r="D14" s="40" t="s">
        <v>1977</v>
      </c>
      <c r="E14" s="42" t="s">
        <v>1978</v>
      </c>
      <c r="F14" s="21" t="s">
        <v>537</v>
      </c>
      <c r="G14" s="21" t="s">
        <v>482</v>
      </c>
      <c r="H14" s="21" t="s">
        <v>2368</v>
      </c>
      <c r="I14" s="49"/>
    </row>
    <row r="15" spans="2:9" ht="27" x14ac:dyDescent="0.3">
      <c r="B15" s="194" t="s">
        <v>1979</v>
      </c>
      <c r="C15" s="21" t="s">
        <v>1479</v>
      </c>
      <c r="D15" s="40" t="s">
        <v>1980</v>
      </c>
      <c r="E15" s="42" t="s">
        <v>619</v>
      </c>
      <c r="F15" s="21" t="s">
        <v>524</v>
      </c>
      <c r="G15" s="21" t="s">
        <v>643</v>
      </c>
      <c r="H15" s="21" t="s">
        <v>2366</v>
      </c>
      <c r="I15" s="49"/>
    </row>
    <row r="16" spans="2:9" x14ac:dyDescent="0.3">
      <c r="B16" s="194" t="s">
        <v>1981</v>
      </c>
      <c r="C16" s="21" t="s">
        <v>1471</v>
      </c>
      <c r="D16" s="40" t="s">
        <v>1489</v>
      </c>
      <c r="E16" s="42" t="s">
        <v>1974</v>
      </c>
      <c r="F16" s="21" t="s">
        <v>1490</v>
      </c>
      <c r="G16" s="21" t="s">
        <v>638</v>
      </c>
      <c r="H16" s="21" t="s">
        <v>2367</v>
      </c>
      <c r="I16" s="49"/>
    </row>
    <row r="17" spans="2:9" x14ac:dyDescent="0.3">
      <c r="B17" s="194" t="s">
        <v>1982</v>
      </c>
      <c r="C17" s="21" t="s">
        <v>1471</v>
      </c>
      <c r="D17" s="40" t="s">
        <v>1983</v>
      </c>
      <c r="E17" s="42" t="s">
        <v>1984</v>
      </c>
      <c r="F17" s="21" t="s">
        <v>1699</v>
      </c>
      <c r="G17" s="21" t="s">
        <v>482</v>
      </c>
      <c r="H17" s="21" t="s">
        <v>2367</v>
      </c>
      <c r="I17" s="49"/>
    </row>
    <row r="18" spans="2:9" ht="27" x14ac:dyDescent="0.3">
      <c r="B18" s="194" t="s">
        <v>2369</v>
      </c>
      <c r="C18" s="21" t="s">
        <v>1479</v>
      </c>
      <c r="D18" s="40" t="s">
        <v>1484</v>
      </c>
      <c r="E18" s="42" t="s">
        <v>2370</v>
      </c>
      <c r="F18" s="21" t="s">
        <v>537</v>
      </c>
      <c r="G18" s="21" t="s">
        <v>765</v>
      </c>
      <c r="H18" s="21" t="s">
        <v>2371</v>
      </c>
      <c r="I18" s="49"/>
    </row>
    <row r="19" spans="2:9" x14ac:dyDescent="0.3">
      <c r="B19" s="194" t="s">
        <v>1985</v>
      </c>
      <c r="C19" s="21" t="s">
        <v>1986</v>
      </c>
      <c r="D19" s="40" t="s">
        <v>1987</v>
      </c>
      <c r="E19" s="42" t="s">
        <v>1988</v>
      </c>
      <c r="F19" s="21" t="s">
        <v>1840</v>
      </c>
      <c r="G19" s="21" t="s">
        <v>494</v>
      </c>
      <c r="H19" s="21" t="s">
        <v>2372</v>
      </c>
      <c r="I19" s="49"/>
    </row>
    <row r="20" spans="2:9" ht="27" x14ac:dyDescent="0.3">
      <c r="B20" s="194" t="s">
        <v>1989</v>
      </c>
      <c r="C20" s="21" t="s">
        <v>1479</v>
      </c>
      <c r="D20" s="40" t="s">
        <v>1476</v>
      </c>
      <c r="E20" s="42" t="s">
        <v>619</v>
      </c>
      <c r="F20" s="21" t="s">
        <v>524</v>
      </c>
      <c r="G20" s="21" t="s">
        <v>1990</v>
      </c>
      <c r="H20" s="21" t="s">
        <v>2367</v>
      </c>
      <c r="I20" s="49"/>
    </row>
    <row r="21" spans="2:9" x14ac:dyDescent="0.3">
      <c r="B21" s="194" t="s">
        <v>1991</v>
      </c>
      <c r="C21" s="21" t="s">
        <v>1471</v>
      </c>
      <c r="D21" s="40" t="s">
        <v>1492</v>
      </c>
      <c r="E21" s="42" t="s">
        <v>1493</v>
      </c>
      <c r="F21" s="21" t="s">
        <v>537</v>
      </c>
      <c r="G21" s="21" t="s">
        <v>1992</v>
      </c>
      <c r="H21" s="21" t="s">
        <v>2367</v>
      </c>
      <c r="I21" s="49"/>
    </row>
    <row r="22" spans="2:9" x14ac:dyDescent="0.3">
      <c r="B22" s="194" t="s">
        <v>1993</v>
      </c>
      <c r="C22" s="21" t="s">
        <v>1471</v>
      </c>
      <c r="D22" s="40" t="s">
        <v>1496</v>
      </c>
      <c r="E22" s="42" t="s">
        <v>1994</v>
      </c>
      <c r="F22" s="21" t="s">
        <v>524</v>
      </c>
      <c r="G22" s="21" t="s">
        <v>1992</v>
      </c>
      <c r="H22" s="21" t="s">
        <v>2367</v>
      </c>
      <c r="I22" s="49"/>
    </row>
    <row r="23" spans="2:9" x14ac:dyDescent="0.3">
      <c r="B23" s="194" t="s">
        <v>1995</v>
      </c>
      <c r="C23" s="21" t="s">
        <v>1471</v>
      </c>
      <c r="D23" s="40" t="s">
        <v>1472</v>
      </c>
      <c r="E23" s="42" t="s">
        <v>634</v>
      </c>
      <c r="F23" s="21" t="s">
        <v>995</v>
      </c>
      <c r="G23" s="21" t="s">
        <v>638</v>
      </c>
      <c r="H23" s="21" t="s">
        <v>2367</v>
      </c>
      <c r="I23" s="49"/>
    </row>
    <row r="24" spans="2:9" x14ac:dyDescent="0.3">
      <c r="B24" s="194" t="s">
        <v>1996</v>
      </c>
      <c r="C24" s="21" t="s">
        <v>1471</v>
      </c>
      <c r="D24" s="40" t="s">
        <v>1539</v>
      </c>
      <c r="E24" s="42" t="s">
        <v>1997</v>
      </c>
      <c r="F24" s="21" t="s">
        <v>995</v>
      </c>
      <c r="G24" s="21" t="s">
        <v>1998</v>
      </c>
      <c r="H24" s="21" t="s">
        <v>2373</v>
      </c>
      <c r="I24" s="49"/>
    </row>
    <row r="25" spans="2:9" ht="27" x14ac:dyDescent="0.3">
      <c r="B25" s="194" t="s">
        <v>1999</v>
      </c>
      <c r="C25" s="21" t="s">
        <v>1479</v>
      </c>
      <c r="D25" s="40" t="s">
        <v>2000</v>
      </c>
      <c r="E25" s="42" t="s">
        <v>689</v>
      </c>
      <c r="F25" s="21" t="s">
        <v>747</v>
      </c>
      <c r="G25" s="21" t="s">
        <v>694</v>
      </c>
      <c r="H25" s="21" t="s">
        <v>2367</v>
      </c>
      <c r="I25" s="49"/>
    </row>
    <row r="26" spans="2:9" x14ac:dyDescent="0.3">
      <c r="B26" s="194" t="s">
        <v>2001</v>
      </c>
      <c r="C26" s="21" t="s">
        <v>1471</v>
      </c>
      <c r="D26" s="40" t="s">
        <v>1499</v>
      </c>
      <c r="E26" s="42" t="s">
        <v>1997</v>
      </c>
      <c r="F26" s="21" t="s">
        <v>1397</v>
      </c>
      <c r="G26" s="21" t="s">
        <v>638</v>
      </c>
      <c r="H26" s="21" t="s">
        <v>2373</v>
      </c>
      <c r="I26" s="49"/>
    </row>
    <row r="27" spans="2:9" ht="27" x14ac:dyDescent="0.3">
      <c r="B27" s="194" t="s">
        <v>2002</v>
      </c>
      <c r="C27" s="21" t="s">
        <v>1479</v>
      </c>
      <c r="D27" s="40" t="s">
        <v>1480</v>
      </c>
      <c r="E27" s="42" t="s">
        <v>2003</v>
      </c>
      <c r="F27" s="21" t="s">
        <v>1840</v>
      </c>
      <c r="G27" s="21" t="s">
        <v>643</v>
      </c>
      <c r="H27" s="21" t="s">
        <v>2367</v>
      </c>
      <c r="I27" s="49"/>
    </row>
    <row r="28" spans="2:9" x14ac:dyDescent="0.3">
      <c r="B28" s="194" t="s">
        <v>2004</v>
      </c>
      <c r="C28" s="21" t="s">
        <v>1471</v>
      </c>
      <c r="D28" s="40" t="s">
        <v>1489</v>
      </c>
      <c r="E28" s="42" t="s">
        <v>1974</v>
      </c>
      <c r="F28" s="21" t="s">
        <v>1490</v>
      </c>
      <c r="G28" s="21" t="s">
        <v>638</v>
      </c>
      <c r="H28" s="21" t="s">
        <v>2367</v>
      </c>
      <c r="I28" s="49"/>
    </row>
    <row r="29" spans="2:9" x14ac:dyDescent="0.3">
      <c r="B29" s="194" t="s">
        <v>2005</v>
      </c>
      <c r="C29" s="21" t="s">
        <v>1471</v>
      </c>
      <c r="D29" s="40" t="s">
        <v>1539</v>
      </c>
      <c r="E29" s="42" t="s">
        <v>1997</v>
      </c>
      <c r="F29" s="21" t="s">
        <v>995</v>
      </c>
      <c r="G29" s="21" t="s">
        <v>638</v>
      </c>
      <c r="H29" s="21" t="s">
        <v>2373</v>
      </c>
      <c r="I29" s="49"/>
    </row>
    <row r="30" spans="2:9" x14ac:dyDescent="0.3">
      <c r="B30" s="194" t="s">
        <v>2006</v>
      </c>
      <c r="C30" s="21" t="s">
        <v>1471</v>
      </c>
      <c r="D30" s="40" t="s">
        <v>1522</v>
      </c>
      <c r="E30" s="42" t="s">
        <v>2007</v>
      </c>
      <c r="F30" s="21" t="s">
        <v>988</v>
      </c>
      <c r="G30" s="21" t="s">
        <v>731</v>
      </c>
      <c r="H30" s="21" t="s">
        <v>2374</v>
      </c>
      <c r="I30" s="49"/>
    </row>
    <row r="31" spans="2:9" x14ac:dyDescent="0.3">
      <c r="B31" s="194" t="s">
        <v>2008</v>
      </c>
      <c r="C31" s="21" t="s">
        <v>1471</v>
      </c>
      <c r="D31" s="40" t="s">
        <v>1528</v>
      </c>
      <c r="E31" s="42" t="s">
        <v>1006</v>
      </c>
      <c r="F31" s="136" t="s">
        <v>1009</v>
      </c>
      <c r="G31" s="136" t="s">
        <v>731</v>
      </c>
      <c r="H31" s="136" t="s">
        <v>2375</v>
      </c>
      <c r="I31" s="137"/>
    </row>
    <row r="32" spans="2:9" ht="27" x14ac:dyDescent="0.3">
      <c r="B32" s="194" t="s">
        <v>2009</v>
      </c>
      <c r="C32" s="21" t="s">
        <v>1479</v>
      </c>
      <c r="D32" s="40" t="s">
        <v>1504</v>
      </c>
      <c r="E32" s="42" t="s">
        <v>852</v>
      </c>
      <c r="F32" s="136" t="s">
        <v>747</v>
      </c>
      <c r="G32" s="136" t="s">
        <v>694</v>
      </c>
      <c r="H32" s="136" t="s">
        <v>2374</v>
      </c>
      <c r="I32" s="137"/>
    </row>
    <row r="33" spans="2:9" x14ac:dyDescent="0.3">
      <c r="B33" s="194" t="s">
        <v>2010</v>
      </c>
      <c r="C33" s="21" t="s">
        <v>1471</v>
      </c>
      <c r="D33" s="40" t="s">
        <v>1499</v>
      </c>
      <c r="E33" s="42" t="s">
        <v>673</v>
      </c>
      <c r="F33" s="136" t="s">
        <v>1397</v>
      </c>
      <c r="G33" s="136" t="s">
        <v>638</v>
      </c>
      <c r="H33" s="136" t="s">
        <v>2373</v>
      </c>
      <c r="I33" s="137"/>
    </row>
    <row r="34" spans="2:9" x14ac:dyDescent="0.3">
      <c r="B34" s="194" t="s">
        <v>2011</v>
      </c>
      <c r="C34" s="21" t="s">
        <v>1471</v>
      </c>
      <c r="D34" s="40" t="s">
        <v>1526</v>
      </c>
      <c r="E34" s="42" t="s">
        <v>2012</v>
      </c>
      <c r="F34" s="136" t="s">
        <v>1490</v>
      </c>
      <c r="G34" s="136" t="s">
        <v>704</v>
      </c>
      <c r="H34" s="136" t="s">
        <v>2375</v>
      </c>
      <c r="I34" s="137"/>
    </row>
    <row r="35" spans="2:9" ht="27" x14ac:dyDescent="0.3">
      <c r="B35" s="195" t="s">
        <v>2013</v>
      </c>
      <c r="C35" s="21" t="s">
        <v>1471</v>
      </c>
      <c r="D35" s="40" t="s">
        <v>2014</v>
      </c>
      <c r="E35" s="42" t="s">
        <v>2015</v>
      </c>
      <c r="F35" s="136" t="s">
        <v>988</v>
      </c>
      <c r="G35" s="136" t="s">
        <v>821</v>
      </c>
      <c r="H35" s="136" t="s">
        <v>2375</v>
      </c>
      <c r="I35" s="137"/>
    </row>
    <row r="36" spans="2:9" ht="27" x14ac:dyDescent="0.3">
      <c r="B36" s="195" t="s">
        <v>2016</v>
      </c>
      <c r="C36" s="21" t="s">
        <v>1471</v>
      </c>
      <c r="D36" s="40" t="s">
        <v>1552</v>
      </c>
      <c r="E36" s="42" t="s">
        <v>984</v>
      </c>
      <c r="F36" s="136" t="s">
        <v>988</v>
      </c>
      <c r="G36" s="136" t="s">
        <v>790</v>
      </c>
      <c r="H36" s="136" t="s">
        <v>2373</v>
      </c>
      <c r="I36" s="137"/>
    </row>
    <row r="37" spans="2:9" ht="27" x14ac:dyDescent="0.3">
      <c r="B37" s="195" t="s">
        <v>2017</v>
      </c>
      <c r="C37" s="136" t="s">
        <v>1471</v>
      </c>
      <c r="D37" s="40" t="s">
        <v>1517</v>
      </c>
      <c r="E37" s="42" t="s">
        <v>2018</v>
      </c>
      <c r="F37" s="136" t="s">
        <v>988</v>
      </c>
      <c r="G37" s="136" t="s">
        <v>1518</v>
      </c>
      <c r="H37" s="136" t="s">
        <v>2288</v>
      </c>
      <c r="I37" s="137"/>
    </row>
    <row r="38" spans="2:9" ht="27" x14ac:dyDescent="0.3">
      <c r="B38" s="195" t="s">
        <v>2019</v>
      </c>
      <c r="C38" s="136" t="s">
        <v>1471</v>
      </c>
      <c r="D38" s="40" t="s">
        <v>1520</v>
      </c>
      <c r="E38" s="42" t="s">
        <v>2015</v>
      </c>
      <c r="F38" s="136" t="s">
        <v>995</v>
      </c>
      <c r="G38" s="136" t="s">
        <v>821</v>
      </c>
      <c r="H38" s="136" t="s">
        <v>2288</v>
      </c>
      <c r="I38" s="137"/>
    </row>
    <row r="39" spans="2:9" ht="27" x14ac:dyDescent="0.3">
      <c r="B39" s="195" t="s">
        <v>2020</v>
      </c>
      <c r="C39" s="136" t="s">
        <v>1479</v>
      </c>
      <c r="D39" s="40" t="s">
        <v>1545</v>
      </c>
      <c r="E39" s="42" t="s">
        <v>2021</v>
      </c>
      <c r="F39" s="136" t="s">
        <v>1009</v>
      </c>
      <c r="G39" s="136" t="s">
        <v>863</v>
      </c>
      <c r="H39" s="136" t="s">
        <v>2288</v>
      </c>
      <c r="I39" s="137"/>
    </row>
    <row r="40" spans="2:9" x14ac:dyDescent="0.3">
      <c r="B40" s="195" t="s">
        <v>2022</v>
      </c>
      <c r="C40" s="136" t="s">
        <v>1471</v>
      </c>
      <c r="D40" s="40" t="s">
        <v>1557</v>
      </c>
      <c r="E40" s="42" t="s">
        <v>2023</v>
      </c>
      <c r="F40" s="136" t="s">
        <v>995</v>
      </c>
      <c r="G40" s="136" t="s">
        <v>790</v>
      </c>
      <c r="H40" s="136" t="s">
        <v>2288</v>
      </c>
      <c r="I40" s="137"/>
    </row>
    <row r="41" spans="2:9" x14ac:dyDescent="0.3">
      <c r="B41" s="195" t="s">
        <v>2024</v>
      </c>
      <c r="C41" s="136" t="s">
        <v>1471</v>
      </c>
      <c r="D41" s="40" t="s">
        <v>1560</v>
      </c>
      <c r="E41" s="42" t="s">
        <v>2023</v>
      </c>
      <c r="F41" s="136" t="s">
        <v>1009</v>
      </c>
      <c r="G41" s="136" t="s">
        <v>821</v>
      </c>
      <c r="H41" s="136" t="s">
        <v>2288</v>
      </c>
      <c r="I41" s="137"/>
    </row>
    <row r="42" spans="2:9" ht="27" x14ac:dyDescent="0.3">
      <c r="B42" s="195" t="s">
        <v>2025</v>
      </c>
      <c r="C42" s="136" t="s">
        <v>1471</v>
      </c>
      <c r="D42" s="40" t="s">
        <v>2026</v>
      </c>
      <c r="E42" s="42" t="s">
        <v>976</v>
      </c>
      <c r="F42" s="136" t="s">
        <v>979</v>
      </c>
      <c r="G42" s="136" t="s">
        <v>1591</v>
      </c>
      <c r="H42" s="136" t="s">
        <v>2376</v>
      </c>
      <c r="I42" s="137"/>
    </row>
    <row r="43" spans="2:9" ht="27" x14ac:dyDescent="0.3">
      <c r="B43" s="195" t="s">
        <v>2027</v>
      </c>
      <c r="C43" s="136" t="s">
        <v>1471</v>
      </c>
      <c r="D43" s="40" t="s">
        <v>2028</v>
      </c>
      <c r="E43" s="42" t="s">
        <v>976</v>
      </c>
      <c r="F43" s="136" t="s">
        <v>1059</v>
      </c>
      <c r="G43" s="136" t="s">
        <v>1591</v>
      </c>
      <c r="H43" s="136" t="s">
        <v>2288</v>
      </c>
      <c r="I43" s="137"/>
    </row>
    <row r="44" spans="2:9" ht="27" x14ac:dyDescent="0.3">
      <c r="B44" s="195" t="s">
        <v>2029</v>
      </c>
      <c r="C44" s="136" t="s">
        <v>1471</v>
      </c>
      <c r="D44" s="40" t="s">
        <v>1573</v>
      </c>
      <c r="E44" s="42" t="s">
        <v>976</v>
      </c>
      <c r="F44" s="136" t="s">
        <v>1009</v>
      </c>
      <c r="G44" s="136" t="s">
        <v>2030</v>
      </c>
      <c r="H44" s="136" t="s">
        <v>2376</v>
      </c>
      <c r="I44" s="137"/>
    </row>
    <row r="45" spans="2:9" ht="27" x14ac:dyDescent="0.3">
      <c r="B45" s="195" t="s">
        <v>2031</v>
      </c>
      <c r="C45" s="136" t="s">
        <v>1471</v>
      </c>
      <c r="D45" s="40" t="s">
        <v>1563</v>
      </c>
      <c r="E45" s="42" t="s">
        <v>2032</v>
      </c>
      <c r="F45" s="136" t="s">
        <v>988</v>
      </c>
      <c r="G45" s="136" t="s">
        <v>1518</v>
      </c>
      <c r="H45" s="136" t="s">
        <v>2288</v>
      </c>
      <c r="I45" s="137"/>
    </row>
    <row r="46" spans="2:9" ht="27" x14ac:dyDescent="0.3">
      <c r="B46" s="195" t="s">
        <v>2033</v>
      </c>
      <c r="C46" s="136" t="s">
        <v>1471</v>
      </c>
      <c r="D46" s="40" t="s">
        <v>1577</v>
      </c>
      <c r="E46" s="42" t="s">
        <v>2032</v>
      </c>
      <c r="F46" s="203" t="s">
        <v>2034</v>
      </c>
      <c r="G46" s="203" t="s">
        <v>2035</v>
      </c>
      <c r="H46" s="136" t="s">
        <v>2288</v>
      </c>
      <c r="I46" s="137"/>
    </row>
    <row r="47" spans="2:9" x14ac:dyDescent="0.3">
      <c r="B47" s="195" t="s">
        <v>2036</v>
      </c>
      <c r="C47" s="136" t="s">
        <v>1471</v>
      </c>
      <c r="D47" s="40" t="s">
        <v>1566</v>
      </c>
      <c r="E47" s="42" t="s">
        <v>2023</v>
      </c>
      <c r="F47" s="136" t="s">
        <v>995</v>
      </c>
      <c r="G47" s="136" t="s">
        <v>790</v>
      </c>
      <c r="H47" s="136" t="s">
        <v>2375</v>
      </c>
      <c r="I47" s="137"/>
    </row>
    <row r="48" spans="2:9" x14ac:dyDescent="0.3">
      <c r="B48" s="195" t="s">
        <v>2037</v>
      </c>
      <c r="C48" s="136" t="s">
        <v>1471</v>
      </c>
      <c r="D48" s="40" t="s">
        <v>1580</v>
      </c>
      <c r="E48" s="42" t="s">
        <v>2038</v>
      </c>
      <c r="F48" s="136" t="s">
        <v>970</v>
      </c>
      <c r="G48" s="136" t="s">
        <v>790</v>
      </c>
      <c r="H48" s="136" t="s">
        <v>2374</v>
      </c>
      <c r="I48" s="137"/>
    </row>
    <row r="49" spans="2:9" x14ac:dyDescent="0.3">
      <c r="B49" s="195" t="s">
        <v>2039</v>
      </c>
      <c r="C49" s="136" t="s">
        <v>1471</v>
      </c>
      <c r="D49" s="40" t="s">
        <v>1583</v>
      </c>
      <c r="E49" s="42" t="s">
        <v>2040</v>
      </c>
      <c r="F49" s="136" t="s">
        <v>988</v>
      </c>
      <c r="G49" s="136" t="s">
        <v>790</v>
      </c>
      <c r="H49" s="136" t="s">
        <v>2374</v>
      </c>
      <c r="I49" s="137"/>
    </row>
    <row r="50" spans="2:9" ht="27" x14ac:dyDescent="0.3">
      <c r="B50" s="195" t="s">
        <v>2041</v>
      </c>
      <c r="C50" s="136" t="s">
        <v>1471</v>
      </c>
      <c r="D50" s="40" t="s">
        <v>1586</v>
      </c>
      <c r="E50" s="42" t="s">
        <v>2042</v>
      </c>
      <c r="F50" s="136" t="s">
        <v>988</v>
      </c>
      <c r="G50" s="136" t="s">
        <v>2043</v>
      </c>
      <c r="H50" s="136" t="s">
        <v>2288</v>
      </c>
      <c r="I50" s="137"/>
    </row>
    <row r="51" spans="2:9" ht="27" x14ac:dyDescent="0.3">
      <c r="B51" s="195" t="s">
        <v>2044</v>
      </c>
      <c r="C51" s="136" t="s">
        <v>1471</v>
      </c>
      <c r="D51" s="40" t="s">
        <v>2045</v>
      </c>
      <c r="E51" s="42" t="s">
        <v>2042</v>
      </c>
      <c r="F51" s="203" t="s">
        <v>2034</v>
      </c>
      <c r="G51" s="203" t="s">
        <v>2046</v>
      </c>
      <c r="H51" s="136" t="s">
        <v>2376</v>
      </c>
      <c r="I51" s="137"/>
    </row>
    <row r="52" spans="2:9" ht="27" x14ac:dyDescent="0.3">
      <c r="B52" s="195" t="s">
        <v>2047</v>
      </c>
      <c r="C52" s="136" t="s">
        <v>1471</v>
      </c>
      <c r="D52" s="40" t="s">
        <v>1590</v>
      </c>
      <c r="E52" s="42" t="s">
        <v>2048</v>
      </c>
      <c r="F52" s="136" t="s">
        <v>979</v>
      </c>
      <c r="G52" s="136" t="s">
        <v>980</v>
      </c>
      <c r="H52" s="136" t="s">
        <v>2376</v>
      </c>
      <c r="I52" s="137"/>
    </row>
    <row r="53" spans="2:9" ht="27" x14ac:dyDescent="0.3">
      <c r="B53" s="195" t="s">
        <v>2049</v>
      </c>
      <c r="C53" s="136" t="s">
        <v>1471</v>
      </c>
      <c r="D53" s="40" t="s">
        <v>1593</v>
      </c>
      <c r="E53" s="42" t="s">
        <v>2048</v>
      </c>
      <c r="F53" s="136" t="s">
        <v>1059</v>
      </c>
      <c r="G53" s="136" t="s">
        <v>980</v>
      </c>
      <c r="H53" s="136" t="s">
        <v>2376</v>
      </c>
      <c r="I53" s="137"/>
    </row>
    <row r="54" spans="2:9" ht="27" x14ac:dyDescent="0.3">
      <c r="B54" s="195" t="s">
        <v>2050</v>
      </c>
      <c r="C54" s="136" t="s">
        <v>1471</v>
      </c>
      <c r="D54" s="40" t="s">
        <v>1597</v>
      </c>
      <c r="E54" s="42" t="s">
        <v>2048</v>
      </c>
      <c r="F54" s="136" t="s">
        <v>1009</v>
      </c>
      <c r="G54" s="136" t="s">
        <v>2051</v>
      </c>
      <c r="H54" s="136" t="s">
        <v>2376</v>
      </c>
      <c r="I54" s="137"/>
    </row>
    <row r="55" spans="2:9" x14ac:dyDescent="0.3">
      <c r="B55" s="195" t="s">
        <v>2052</v>
      </c>
      <c r="C55" s="136" t="s">
        <v>1471</v>
      </c>
      <c r="D55" s="40" t="s">
        <v>1600</v>
      </c>
      <c r="E55" s="42" t="s">
        <v>2053</v>
      </c>
      <c r="F55" s="136" t="s">
        <v>1059</v>
      </c>
      <c r="G55" s="136" t="s">
        <v>738</v>
      </c>
      <c r="H55" s="136" t="s">
        <v>2376</v>
      </c>
      <c r="I55" s="137"/>
    </row>
    <row r="56" spans="2:9" x14ac:dyDescent="0.3">
      <c r="B56" s="195" t="s">
        <v>2054</v>
      </c>
      <c r="C56" s="136" t="s">
        <v>1471</v>
      </c>
      <c r="D56" s="40" t="s">
        <v>2055</v>
      </c>
      <c r="E56" s="42" t="s">
        <v>2038</v>
      </c>
      <c r="F56" s="136" t="s">
        <v>747</v>
      </c>
      <c r="G56" s="136" t="s">
        <v>971</v>
      </c>
      <c r="H56" s="136" t="s">
        <v>2288</v>
      </c>
      <c r="I56" s="137"/>
    </row>
    <row r="57" spans="2:9" ht="27" x14ac:dyDescent="0.3">
      <c r="B57" s="195" t="s">
        <v>2056</v>
      </c>
      <c r="C57" s="136" t="s">
        <v>1471</v>
      </c>
      <c r="D57" s="40" t="s">
        <v>1603</v>
      </c>
      <c r="E57" s="42" t="s">
        <v>2057</v>
      </c>
      <c r="F57" s="136" t="s">
        <v>1059</v>
      </c>
      <c r="G57" s="136" t="s">
        <v>1605</v>
      </c>
      <c r="H57" s="136" t="s">
        <v>2376</v>
      </c>
      <c r="I57" s="137"/>
    </row>
    <row r="58" spans="2:9" x14ac:dyDescent="0.3">
      <c r="B58" s="195" t="s">
        <v>2058</v>
      </c>
      <c r="C58" s="136" t="s">
        <v>1471</v>
      </c>
      <c r="D58" s="40" t="s">
        <v>2059</v>
      </c>
      <c r="E58" s="42" t="s">
        <v>2060</v>
      </c>
      <c r="F58" s="136" t="s">
        <v>995</v>
      </c>
      <c r="G58" s="136" t="s">
        <v>738</v>
      </c>
      <c r="H58" s="136" t="s">
        <v>2376</v>
      </c>
      <c r="I58" s="137"/>
    </row>
    <row r="59" spans="2:9" x14ac:dyDescent="0.3">
      <c r="B59" s="195" t="s">
        <v>2061</v>
      </c>
      <c r="C59" s="136" t="s">
        <v>1471</v>
      </c>
      <c r="D59" s="40" t="s">
        <v>2062</v>
      </c>
      <c r="E59" s="42" t="s">
        <v>2060</v>
      </c>
      <c r="F59" s="136" t="s">
        <v>988</v>
      </c>
      <c r="G59" s="136" t="s">
        <v>694</v>
      </c>
      <c r="H59" s="136" t="s">
        <v>2376</v>
      </c>
      <c r="I59" s="137"/>
    </row>
    <row r="60" spans="2:9" ht="27" x14ac:dyDescent="0.3">
      <c r="B60" s="195" t="s">
        <v>2063</v>
      </c>
      <c r="C60" s="136" t="s">
        <v>1471</v>
      </c>
      <c r="D60" s="40" t="s">
        <v>1614</v>
      </c>
      <c r="E60" s="42" t="s">
        <v>2064</v>
      </c>
      <c r="F60" s="136" t="s">
        <v>1009</v>
      </c>
      <c r="G60" s="136" t="s">
        <v>694</v>
      </c>
      <c r="H60" s="136" t="s">
        <v>2376</v>
      </c>
      <c r="I60" s="137"/>
    </row>
    <row r="61" spans="2:9" ht="27" x14ac:dyDescent="0.3">
      <c r="B61" s="195" t="s">
        <v>2111</v>
      </c>
      <c r="C61" s="136" t="s">
        <v>1986</v>
      </c>
      <c r="D61" s="40" t="s">
        <v>2112</v>
      </c>
      <c r="E61" s="42" t="s">
        <v>2113</v>
      </c>
      <c r="F61" s="136" t="s">
        <v>1956</v>
      </c>
      <c r="G61" s="136" t="s">
        <v>722</v>
      </c>
      <c r="H61" s="136" t="s">
        <v>2377</v>
      </c>
      <c r="I61" s="137"/>
    </row>
    <row r="62" spans="2:9" ht="27" x14ac:dyDescent="0.3">
      <c r="B62" s="195" t="s">
        <v>2114</v>
      </c>
      <c r="C62" s="136" t="s">
        <v>1471</v>
      </c>
      <c r="D62" s="40" t="s">
        <v>1652</v>
      </c>
      <c r="E62" s="42" t="s">
        <v>984</v>
      </c>
      <c r="F62" s="136" t="s">
        <v>1653</v>
      </c>
      <c r="G62" s="136" t="s">
        <v>2115</v>
      </c>
      <c r="H62" s="136" t="s">
        <v>2375</v>
      </c>
      <c r="I62" s="137"/>
    </row>
    <row r="63" spans="2:9" ht="27" x14ac:dyDescent="0.3">
      <c r="B63" s="195" t="s">
        <v>2116</v>
      </c>
      <c r="C63" s="136" t="s">
        <v>1471</v>
      </c>
      <c r="D63" s="40" t="s">
        <v>1655</v>
      </c>
      <c r="E63" s="42" t="s">
        <v>984</v>
      </c>
      <c r="F63" s="136" t="s">
        <v>1044</v>
      </c>
      <c r="G63" s="136" t="s">
        <v>1656</v>
      </c>
      <c r="H63" s="136" t="s">
        <v>2375</v>
      </c>
      <c r="I63" s="137"/>
    </row>
    <row r="64" spans="2:9" ht="27" x14ac:dyDescent="0.3">
      <c r="B64" s="195" t="s">
        <v>2117</v>
      </c>
      <c r="C64" s="136" t="s">
        <v>1471</v>
      </c>
      <c r="D64" s="40" t="s">
        <v>1658</v>
      </c>
      <c r="E64" s="42" t="s">
        <v>976</v>
      </c>
      <c r="F64" s="136" t="s">
        <v>1653</v>
      </c>
      <c r="G64" s="136" t="s">
        <v>514</v>
      </c>
      <c r="H64" s="136" t="s">
        <v>2374</v>
      </c>
      <c r="I64" s="137"/>
    </row>
    <row r="65" spans="2:9" ht="27" x14ac:dyDescent="0.3">
      <c r="B65" s="195" t="s">
        <v>2118</v>
      </c>
      <c r="C65" s="136" t="s">
        <v>1471</v>
      </c>
      <c r="D65" s="40" t="s">
        <v>1660</v>
      </c>
      <c r="E65" s="42" t="s">
        <v>976</v>
      </c>
      <c r="F65" s="136" t="s">
        <v>1044</v>
      </c>
      <c r="G65" s="136" t="s">
        <v>1656</v>
      </c>
      <c r="H65" s="136" t="s">
        <v>2374</v>
      </c>
      <c r="I65" s="137"/>
    </row>
    <row r="66" spans="2:9" x14ac:dyDescent="0.3">
      <c r="B66" s="195" t="s">
        <v>2119</v>
      </c>
      <c r="C66" s="136" t="s">
        <v>1471</v>
      </c>
      <c r="D66" s="40" t="s">
        <v>1662</v>
      </c>
      <c r="E66" s="42" t="s">
        <v>2120</v>
      </c>
      <c r="F66" s="136" t="s">
        <v>1664</v>
      </c>
      <c r="G66" s="136" t="s">
        <v>2378</v>
      </c>
      <c r="H66" s="136" t="s">
        <v>2376</v>
      </c>
      <c r="I66" s="137"/>
    </row>
    <row r="67" spans="2:9" ht="17.25" thickBot="1" x14ac:dyDescent="0.35">
      <c r="B67" s="196"/>
      <c r="C67" s="65"/>
      <c r="D67" s="66"/>
      <c r="E67" s="214"/>
      <c r="F67" s="197"/>
      <c r="G67" s="65"/>
      <c r="H67" s="65"/>
      <c r="I67" s="67"/>
    </row>
  </sheetData>
  <autoFilter ref="B6:I67"/>
  <sortState ref="B7:I66">
    <sortCondition ref="B7:B66"/>
  </sortState>
  <mergeCells count="1">
    <mergeCell ref="B2:I3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1"/>
  <sheetViews>
    <sheetView showGridLines="0" workbookViewId="0">
      <selection activeCell="H66" sqref="B7:H66"/>
    </sheetView>
  </sheetViews>
  <sheetFormatPr defaultRowHeight="16.5" x14ac:dyDescent="0.3"/>
  <cols>
    <col min="1" max="1" width="0.625" customWidth="1"/>
    <col min="2" max="3" width="9" style="19"/>
    <col min="4" max="4" width="38.875" style="20" customWidth="1"/>
    <col min="5" max="5" width="34.125" style="211" bestFit="1" customWidth="1"/>
    <col min="7" max="7" width="11.5" bestFit="1" customWidth="1"/>
    <col min="8" max="8" width="10.875" style="41" customWidth="1"/>
    <col min="9" max="9" width="27.375" style="20" customWidth="1"/>
  </cols>
  <sheetData>
    <row r="1" spans="2:9" ht="4.5" customHeight="1" x14ac:dyDescent="0.3"/>
    <row r="2" spans="2:9" x14ac:dyDescent="0.3">
      <c r="B2" s="368" t="s">
        <v>2363</v>
      </c>
      <c r="C2" s="368"/>
      <c r="D2" s="368"/>
      <c r="E2" s="368"/>
      <c r="F2" s="368"/>
      <c r="G2" s="368"/>
      <c r="H2" s="368"/>
      <c r="I2" s="368"/>
    </row>
    <row r="3" spans="2:9" x14ac:dyDescent="0.3">
      <c r="B3" s="368"/>
      <c r="C3" s="368"/>
      <c r="D3" s="368"/>
      <c r="E3" s="368"/>
      <c r="F3" s="368"/>
      <c r="G3" s="368"/>
      <c r="H3" s="368"/>
      <c r="I3" s="368"/>
    </row>
    <row r="4" spans="2:9" ht="17.25" thickBot="1" x14ac:dyDescent="0.35"/>
    <row r="5" spans="2:9" s="18" customFormat="1" ht="18.75" customHeight="1" thickBot="1" x14ac:dyDescent="0.35">
      <c r="B5" s="43"/>
      <c r="C5" s="44"/>
      <c r="D5" s="44"/>
      <c r="E5" s="212"/>
      <c r="F5" s="44"/>
      <c r="G5" s="44"/>
      <c r="H5" s="45" t="s">
        <v>1462</v>
      </c>
      <c r="I5" s="46">
        <v>45541</v>
      </c>
    </row>
    <row r="6" spans="2:9" s="15" customFormat="1" ht="18.75" customHeight="1" thickTop="1" x14ac:dyDescent="0.3">
      <c r="B6" s="47" t="s">
        <v>2364</v>
      </c>
      <c r="C6" s="37" t="s">
        <v>458</v>
      </c>
      <c r="D6" s="37" t="s">
        <v>1465</v>
      </c>
      <c r="E6" s="213" t="s">
        <v>1466</v>
      </c>
      <c r="F6" s="37" t="s">
        <v>1467</v>
      </c>
      <c r="G6" s="37" t="s">
        <v>1468</v>
      </c>
      <c r="H6" s="38" t="s">
        <v>468</v>
      </c>
      <c r="I6" s="48" t="s">
        <v>471</v>
      </c>
    </row>
    <row r="7" spans="2:9" ht="27" x14ac:dyDescent="0.3">
      <c r="B7" s="195" t="s">
        <v>2289</v>
      </c>
      <c r="C7" s="136" t="s">
        <v>1153</v>
      </c>
      <c r="D7" s="50" t="s">
        <v>2290</v>
      </c>
      <c r="E7" s="202" t="s">
        <v>2129</v>
      </c>
      <c r="F7" s="136" t="s">
        <v>537</v>
      </c>
      <c r="G7" s="51" t="s">
        <v>494</v>
      </c>
      <c r="H7" s="136" t="s">
        <v>2291</v>
      </c>
      <c r="I7" s="137"/>
    </row>
    <row r="8" spans="2:9" ht="27" x14ac:dyDescent="0.3">
      <c r="B8" s="195" t="s">
        <v>2292</v>
      </c>
      <c r="C8" s="136" t="s">
        <v>1153</v>
      </c>
      <c r="D8" s="50" t="s">
        <v>2138</v>
      </c>
      <c r="E8" s="202" t="s">
        <v>2133</v>
      </c>
      <c r="F8" s="136" t="s">
        <v>1374</v>
      </c>
      <c r="G8" s="51" t="s">
        <v>1195</v>
      </c>
      <c r="H8" s="136" t="s">
        <v>2134</v>
      </c>
      <c r="I8" s="137"/>
    </row>
    <row r="9" spans="2:9" ht="27" x14ac:dyDescent="0.3">
      <c r="B9" s="195" t="s">
        <v>2293</v>
      </c>
      <c r="C9" s="136" t="s">
        <v>1153</v>
      </c>
      <c r="D9" s="50" t="s">
        <v>2128</v>
      </c>
      <c r="E9" s="202" t="s">
        <v>2129</v>
      </c>
      <c r="F9" s="136" t="s">
        <v>1374</v>
      </c>
      <c r="G9" s="51" t="s">
        <v>1375</v>
      </c>
      <c r="H9" s="136" t="s">
        <v>2294</v>
      </c>
      <c r="I9" s="137"/>
    </row>
    <row r="10" spans="2:9" ht="27" x14ac:dyDescent="0.3">
      <c r="B10" s="195" t="s">
        <v>2295</v>
      </c>
      <c r="C10" s="136" t="s">
        <v>1153</v>
      </c>
      <c r="D10" s="50" t="s">
        <v>2132</v>
      </c>
      <c r="E10" s="202" t="s">
        <v>2133</v>
      </c>
      <c r="F10" s="136" t="s">
        <v>2237</v>
      </c>
      <c r="G10" s="51" t="s">
        <v>494</v>
      </c>
      <c r="H10" s="136" t="s">
        <v>2379</v>
      </c>
      <c r="I10" s="137"/>
    </row>
    <row r="11" spans="2:9" ht="27" x14ac:dyDescent="0.3">
      <c r="B11" s="195" t="s">
        <v>2296</v>
      </c>
      <c r="C11" s="136" t="s">
        <v>1153</v>
      </c>
      <c r="D11" s="50" t="s">
        <v>1240</v>
      </c>
      <c r="E11" s="202" t="s">
        <v>2133</v>
      </c>
      <c r="F11" s="136" t="s">
        <v>1397</v>
      </c>
      <c r="G11" s="51" t="s">
        <v>1246</v>
      </c>
      <c r="H11" s="136" t="s">
        <v>2297</v>
      </c>
      <c r="I11" s="137"/>
    </row>
    <row r="12" spans="2:9" ht="27" x14ac:dyDescent="0.3">
      <c r="B12" s="195" t="s">
        <v>2298</v>
      </c>
      <c r="C12" s="136" t="s">
        <v>1153</v>
      </c>
      <c r="D12" s="50" t="s">
        <v>2299</v>
      </c>
      <c r="E12" s="202" t="s">
        <v>1396</v>
      </c>
      <c r="F12" s="136" t="s">
        <v>1374</v>
      </c>
      <c r="G12" s="51" t="s">
        <v>1246</v>
      </c>
      <c r="H12" s="136" t="s">
        <v>2380</v>
      </c>
      <c r="I12" s="137"/>
    </row>
    <row r="13" spans="2:9" ht="27" x14ac:dyDescent="0.3">
      <c r="B13" s="195" t="s">
        <v>2301</v>
      </c>
      <c r="C13" s="136" t="s">
        <v>1153</v>
      </c>
      <c r="D13" s="50" t="s">
        <v>2153</v>
      </c>
      <c r="E13" s="202" t="s">
        <v>2154</v>
      </c>
      <c r="F13" s="136" t="s">
        <v>2302</v>
      </c>
      <c r="G13" s="51" t="s">
        <v>1406</v>
      </c>
      <c r="H13" s="136" t="s">
        <v>2313</v>
      </c>
      <c r="I13" s="137"/>
    </row>
    <row r="14" spans="2:9" ht="27" x14ac:dyDescent="0.3">
      <c r="B14" s="195" t="s">
        <v>2303</v>
      </c>
      <c r="C14" s="136" t="s">
        <v>1153</v>
      </c>
      <c r="D14" s="50" t="s">
        <v>2304</v>
      </c>
      <c r="E14" s="202" t="s">
        <v>1396</v>
      </c>
      <c r="F14" s="136" t="s">
        <v>2305</v>
      </c>
      <c r="G14" s="51" t="s">
        <v>1275</v>
      </c>
      <c r="H14" s="136" t="s">
        <v>2306</v>
      </c>
      <c r="I14" s="137"/>
    </row>
    <row r="15" spans="2:9" ht="27" x14ac:dyDescent="0.3">
      <c r="B15" s="195" t="s">
        <v>2307</v>
      </c>
      <c r="C15" s="136" t="s">
        <v>1153</v>
      </c>
      <c r="D15" s="50" t="s">
        <v>2163</v>
      </c>
      <c r="E15" s="202" t="s">
        <v>2154</v>
      </c>
      <c r="F15" s="136" t="s">
        <v>1380</v>
      </c>
      <c r="G15" s="51" t="s">
        <v>738</v>
      </c>
      <c r="H15" s="136" t="s">
        <v>2157</v>
      </c>
      <c r="I15" s="137"/>
    </row>
    <row r="16" spans="2:9" ht="27" x14ac:dyDescent="0.3">
      <c r="B16" s="195" t="s">
        <v>2309</v>
      </c>
      <c r="C16" s="136" t="s">
        <v>1153</v>
      </c>
      <c r="D16" s="50" t="s">
        <v>2310</v>
      </c>
      <c r="E16" s="202" t="s">
        <v>2150</v>
      </c>
      <c r="F16" s="136" t="s">
        <v>1374</v>
      </c>
      <c r="G16" s="51" t="s">
        <v>1375</v>
      </c>
      <c r="H16" s="136" t="s">
        <v>2157</v>
      </c>
      <c r="I16" s="137"/>
    </row>
    <row r="17" spans="2:9" ht="27" x14ac:dyDescent="0.3">
      <c r="B17" s="195" t="s">
        <v>2311</v>
      </c>
      <c r="C17" s="136" t="s">
        <v>1153</v>
      </c>
      <c r="D17" s="50" t="s">
        <v>2149</v>
      </c>
      <c r="E17" s="202" t="s">
        <v>2150</v>
      </c>
      <c r="F17" s="136" t="s">
        <v>2305</v>
      </c>
      <c r="G17" s="51" t="s">
        <v>1406</v>
      </c>
      <c r="H17" s="136" t="s">
        <v>2218</v>
      </c>
      <c r="I17" s="137"/>
    </row>
    <row r="18" spans="2:9" ht="27" x14ac:dyDescent="0.3">
      <c r="B18" s="195" t="s">
        <v>2312</v>
      </c>
      <c r="C18" s="136" t="s">
        <v>1153</v>
      </c>
      <c r="D18" s="50" t="s">
        <v>2166</v>
      </c>
      <c r="E18" s="202" t="s">
        <v>2150</v>
      </c>
      <c r="F18" s="136" t="s">
        <v>1380</v>
      </c>
      <c r="G18" s="51" t="s">
        <v>738</v>
      </c>
      <c r="H18" s="136" t="s">
        <v>2313</v>
      </c>
      <c r="I18" s="137"/>
    </row>
    <row r="19" spans="2:9" ht="27" x14ac:dyDescent="0.3">
      <c r="B19" s="195" t="s">
        <v>2314</v>
      </c>
      <c r="C19" s="136" t="s">
        <v>1153</v>
      </c>
      <c r="D19" s="50" t="s">
        <v>2168</v>
      </c>
      <c r="E19" s="202" t="s">
        <v>2150</v>
      </c>
      <c r="F19" s="136" t="s">
        <v>979</v>
      </c>
      <c r="G19" s="51" t="s">
        <v>1406</v>
      </c>
      <c r="H19" s="136" t="s">
        <v>2318</v>
      </c>
      <c r="I19" s="137"/>
    </row>
    <row r="20" spans="2:9" ht="27" x14ac:dyDescent="0.3">
      <c r="B20" s="195" t="s">
        <v>2315</v>
      </c>
      <c r="C20" s="136" t="s">
        <v>1153</v>
      </c>
      <c r="D20" s="50" t="s">
        <v>2170</v>
      </c>
      <c r="E20" s="202" t="s">
        <v>2150</v>
      </c>
      <c r="F20" s="136" t="s">
        <v>988</v>
      </c>
      <c r="G20" s="51" t="s">
        <v>1431</v>
      </c>
      <c r="H20" s="136" t="s">
        <v>2218</v>
      </c>
      <c r="I20" s="137"/>
    </row>
    <row r="21" spans="2:9" ht="27" x14ac:dyDescent="0.3">
      <c r="B21" s="195" t="s">
        <v>2316</v>
      </c>
      <c r="C21" s="136" t="s">
        <v>1153</v>
      </c>
      <c r="D21" s="50" t="s">
        <v>2172</v>
      </c>
      <c r="E21" s="202" t="s">
        <v>2150</v>
      </c>
      <c r="F21" s="136" t="s">
        <v>2305</v>
      </c>
      <c r="G21" s="51" t="s">
        <v>1361</v>
      </c>
      <c r="H21" s="136" t="s">
        <v>2218</v>
      </c>
      <c r="I21" s="137"/>
    </row>
    <row r="22" spans="2:9" ht="27" x14ac:dyDescent="0.3">
      <c r="B22" s="195" t="s">
        <v>2317</v>
      </c>
      <c r="C22" s="136" t="s">
        <v>1153</v>
      </c>
      <c r="D22" s="50" t="s">
        <v>2175</v>
      </c>
      <c r="E22" s="202" t="s">
        <v>2150</v>
      </c>
      <c r="F22" s="136" t="s">
        <v>988</v>
      </c>
      <c r="G22" s="51" t="s">
        <v>2176</v>
      </c>
      <c r="H22" s="136" t="s">
        <v>2318</v>
      </c>
      <c r="I22" s="137"/>
    </row>
    <row r="23" spans="2:9" ht="27" x14ac:dyDescent="0.3">
      <c r="B23" s="195" t="s">
        <v>2319</v>
      </c>
      <c r="C23" s="136" t="s">
        <v>1153</v>
      </c>
      <c r="D23" s="50" t="s">
        <v>2179</v>
      </c>
      <c r="E23" s="202" t="s">
        <v>2180</v>
      </c>
      <c r="F23" s="136" t="s">
        <v>979</v>
      </c>
      <c r="G23" s="51" t="s">
        <v>2181</v>
      </c>
      <c r="H23" s="136" t="s">
        <v>2318</v>
      </c>
      <c r="I23" s="137"/>
    </row>
    <row r="24" spans="2:9" ht="27" x14ac:dyDescent="0.3">
      <c r="B24" s="195" t="s">
        <v>2320</v>
      </c>
      <c r="C24" s="136" t="s">
        <v>1153</v>
      </c>
      <c r="D24" s="50" t="s">
        <v>2321</v>
      </c>
      <c r="E24" s="202" t="s">
        <v>2180</v>
      </c>
      <c r="F24" s="136" t="s">
        <v>988</v>
      </c>
      <c r="G24" s="51" t="s">
        <v>2322</v>
      </c>
      <c r="H24" s="136" t="s">
        <v>2306</v>
      </c>
      <c r="I24" s="137"/>
    </row>
    <row r="25" spans="2:9" ht="27" x14ac:dyDescent="0.3">
      <c r="B25" s="195" t="s">
        <v>2323</v>
      </c>
      <c r="C25" s="136" t="s">
        <v>1153</v>
      </c>
      <c r="D25" s="50" t="s">
        <v>2324</v>
      </c>
      <c r="E25" s="202" t="s">
        <v>2243</v>
      </c>
      <c r="F25" s="136" t="s">
        <v>2244</v>
      </c>
      <c r="G25" s="51" t="s">
        <v>2325</v>
      </c>
      <c r="H25" s="136" t="s">
        <v>2218</v>
      </c>
      <c r="I25" s="137"/>
    </row>
    <row r="26" spans="2:9" ht="27" x14ac:dyDescent="0.3">
      <c r="B26" s="195" t="s">
        <v>2326</v>
      </c>
      <c r="C26" s="136" t="s">
        <v>1153</v>
      </c>
      <c r="D26" s="50" t="s">
        <v>2183</v>
      </c>
      <c r="E26" s="202" t="s">
        <v>2180</v>
      </c>
      <c r="F26" s="136" t="s">
        <v>979</v>
      </c>
      <c r="G26" s="51" t="s">
        <v>2181</v>
      </c>
      <c r="H26" s="136" t="s">
        <v>2381</v>
      </c>
      <c r="I26" s="137"/>
    </row>
    <row r="27" spans="2:9" ht="27" x14ac:dyDescent="0.3">
      <c r="B27" s="195" t="s">
        <v>2328</v>
      </c>
      <c r="C27" s="136" t="s">
        <v>1153</v>
      </c>
      <c r="D27" s="50" t="s">
        <v>2186</v>
      </c>
      <c r="E27" s="202" t="s">
        <v>2180</v>
      </c>
      <c r="F27" s="136" t="s">
        <v>988</v>
      </c>
      <c r="G27" s="51" t="s">
        <v>2187</v>
      </c>
      <c r="H27" s="136" t="s">
        <v>2313</v>
      </c>
      <c r="I27" s="137"/>
    </row>
    <row r="28" spans="2:9" ht="27" x14ac:dyDescent="0.3">
      <c r="B28" s="195" t="s">
        <v>2329</v>
      </c>
      <c r="C28" s="136" t="s">
        <v>1153</v>
      </c>
      <c r="D28" s="50" t="s">
        <v>2189</v>
      </c>
      <c r="E28" s="202" t="s">
        <v>2330</v>
      </c>
      <c r="F28" s="136" t="s">
        <v>979</v>
      </c>
      <c r="G28" s="51" t="s">
        <v>2181</v>
      </c>
      <c r="H28" s="136" t="s">
        <v>2306</v>
      </c>
      <c r="I28" s="137"/>
    </row>
    <row r="29" spans="2:9" ht="27" x14ac:dyDescent="0.3">
      <c r="B29" s="195" t="s">
        <v>2331</v>
      </c>
      <c r="C29" s="136" t="s">
        <v>1153</v>
      </c>
      <c r="D29" s="50" t="s">
        <v>2332</v>
      </c>
      <c r="E29" s="202" t="s">
        <v>2330</v>
      </c>
      <c r="F29" s="136" t="s">
        <v>988</v>
      </c>
      <c r="G29" s="51" t="s">
        <v>2196</v>
      </c>
      <c r="H29" s="136" t="s">
        <v>2381</v>
      </c>
      <c r="I29" s="137"/>
    </row>
    <row r="30" spans="2:9" ht="27" x14ac:dyDescent="0.3">
      <c r="B30" s="195" t="s">
        <v>2357</v>
      </c>
      <c r="C30" s="136" t="s">
        <v>1153</v>
      </c>
      <c r="D30" s="50" t="s">
        <v>2358</v>
      </c>
      <c r="E30" s="202" t="s">
        <v>2382</v>
      </c>
      <c r="F30" s="136" t="s">
        <v>1949</v>
      </c>
      <c r="G30" s="51" t="s">
        <v>2253</v>
      </c>
      <c r="H30" s="136" t="s">
        <v>2134</v>
      </c>
      <c r="I30" s="137"/>
    </row>
    <row r="31" spans="2:9" ht="17.25" thickBot="1" x14ac:dyDescent="0.35">
      <c r="B31" s="196"/>
      <c r="C31" s="65"/>
      <c r="D31" s="66"/>
      <c r="E31" s="214"/>
      <c r="F31" s="197"/>
      <c r="G31" s="197"/>
      <c r="H31" s="65"/>
      <c r="I31" s="67"/>
    </row>
  </sheetData>
  <autoFilter ref="B6:I31"/>
  <sortState ref="B7:I30">
    <sortCondition ref="B7:B30"/>
  </sortState>
  <mergeCells count="1">
    <mergeCell ref="B2:I3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L354"/>
  <sheetViews>
    <sheetView showGridLines="0" zoomScaleNormal="100" workbookViewId="0">
      <selection activeCell="F13" sqref="F13"/>
    </sheetView>
  </sheetViews>
  <sheetFormatPr defaultRowHeight="50.1" customHeight="1" x14ac:dyDescent="0.3"/>
  <cols>
    <col min="1" max="1" width="0.625" style="24" customWidth="1"/>
    <col min="2" max="3" width="9" style="23"/>
    <col min="4" max="4" width="22.625" style="23" customWidth="1"/>
    <col min="5" max="5" width="31.125" style="52" customWidth="1"/>
    <col min="6" max="6" width="41.875" style="52" customWidth="1"/>
    <col min="7" max="7" width="29.375" style="23" customWidth="1"/>
    <col min="8" max="8" width="9" style="23"/>
    <col min="9" max="9" width="13" style="23" customWidth="1"/>
    <col min="10" max="10" width="10.875" style="23" customWidth="1"/>
    <col min="11" max="11" width="14" style="23" customWidth="1"/>
    <col min="12" max="12" width="10.875" style="24" customWidth="1"/>
    <col min="13" max="16384" width="9" style="24"/>
  </cols>
  <sheetData>
    <row r="1" spans="2:12" ht="4.5" customHeight="1" x14ac:dyDescent="0.3"/>
    <row r="2" spans="2:12" ht="50.1" customHeight="1" x14ac:dyDescent="0.3">
      <c r="B2" s="369" t="s">
        <v>2383</v>
      </c>
      <c r="C2" s="369"/>
      <c r="D2" s="369"/>
      <c r="E2" s="369"/>
      <c r="F2" s="369"/>
      <c r="G2" s="369"/>
      <c r="H2" s="369"/>
      <c r="I2" s="369"/>
      <c r="J2" s="369"/>
      <c r="K2" s="369"/>
      <c r="L2" s="369"/>
    </row>
    <row r="3" spans="2:12" ht="8.25" customHeight="1" thickBot="1" x14ac:dyDescent="0.35"/>
    <row r="4" spans="2:12" ht="50.1" customHeight="1" x14ac:dyDescent="0.3">
      <c r="B4" s="256" t="s">
        <v>2364</v>
      </c>
      <c r="C4" s="257" t="s">
        <v>457</v>
      </c>
      <c r="D4" s="258" t="s">
        <v>1465</v>
      </c>
      <c r="E4" s="259" t="s">
        <v>461</v>
      </c>
      <c r="F4" s="258" t="s">
        <v>462</v>
      </c>
      <c r="G4" s="258" t="s">
        <v>463</v>
      </c>
      <c r="H4" s="258" t="s">
        <v>464</v>
      </c>
      <c r="I4" s="258" t="s">
        <v>465</v>
      </c>
      <c r="J4" s="260" t="s">
        <v>2384</v>
      </c>
      <c r="K4" s="260" t="s">
        <v>467</v>
      </c>
      <c r="L4" s="261" t="s">
        <v>468</v>
      </c>
    </row>
    <row r="5" spans="2:12" ht="12" x14ac:dyDescent="0.3">
      <c r="B5" s="262">
        <v>1</v>
      </c>
      <c r="C5" s="60" t="s">
        <v>473</v>
      </c>
      <c r="D5" s="61" t="s">
        <v>475</v>
      </c>
      <c r="E5" s="62" t="s">
        <v>2385</v>
      </c>
      <c r="F5" s="62" t="s">
        <v>478</v>
      </c>
      <c r="G5" s="62" t="s">
        <v>479</v>
      </c>
      <c r="H5" s="61" t="s">
        <v>480</v>
      </c>
      <c r="I5" s="61">
        <v>4</v>
      </c>
      <c r="J5" s="61" t="s">
        <v>481</v>
      </c>
      <c r="K5" s="61" t="s">
        <v>482</v>
      </c>
      <c r="L5" s="263"/>
    </row>
    <row r="6" spans="2:12" ht="24" x14ac:dyDescent="0.3">
      <c r="B6" s="262">
        <v>2</v>
      </c>
      <c r="C6" s="60" t="s">
        <v>497</v>
      </c>
      <c r="D6" s="61" t="s">
        <v>2535</v>
      </c>
      <c r="E6" s="62" t="s">
        <v>1690</v>
      </c>
      <c r="F6" s="62" t="s">
        <v>502</v>
      </c>
      <c r="G6" s="62" t="s">
        <v>503</v>
      </c>
      <c r="H6" s="61" t="s">
        <v>504</v>
      </c>
      <c r="I6" s="61">
        <v>4</v>
      </c>
      <c r="J6" s="61" t="s">
        <v>505</v>
      </c>
      <c r="K6" s="61" t="s">
        <v>494</v>
      </c>
      <c r="L6" s="263" t="s">
        <v>506</v>
      </c>
    </row>
    <row r="7" spans="2:12" ht="24" x14ac:dyDescent="0.3">
      <c r="B7" s="262">
        <v>3</v>
      </c>
      <c r="C7" s="60" t="s">
        <v>518</v>
      </c>
      <c r="D7" s="61" t="s">
        <v>2536</v>
      </c>
      <c r="E7" s="62" t="s">
        <v>521</v>
      </c>
      <c r="F7" s="62" t="s">
        <v>522</v>
      </c>
      <c r="G7" s="62" t="s">
        <v>523</v>
      </c>
      <c r="H7" s="61" t="s">
        <v>504</v>
      </c>
      <c r="I7" s="61">
        <v>4.0999999999999996</v>
      </c>
      <c r="J7" s="61" t="s">
        <v>524</v>
      </c>
      <c r="K7" s="61" t="s">
        <v>525</v>
      </c>
      <c r="L7" s="263" t="s">
        <v>526</v>
      </c>
    </row>
    <row r="8" spans="2:12" ht="24" x14ac:dyDescent="0.3">
      <c r="B8" s="262">
        <v>4</v>
      </c>
      <c r="C8" s="60" t="s">
        <v>527</v>
      </c>
      <c r="D8" s="61" t="s">
        <v>2536</v>
      </c>
      <c r="E8" s="62" t="s">
        <v>521</v>
      </c>
      <c r="F8" s="62" t="s">
        <v>522</v>
      </c>
      <c r="G8" s="62" t="s">
        <v>523</v>
      </c>
      <c r="H8" s="61" t="s">
        <v>504</v>
      </c>
      <c r="I8" s="61">
        <v>4.0999999999999996</v>
      </c>
      <c r="J8" s="61" t="s">
        <v>524</v>
      </c>
      <c r="K8" s="61" t="s">
        <v>525</v>
      </c>
      <c r="L8" s="263" t="s">
        <v>526</v>
      </c>
    </row>
    <row r="9" spans="2:12" ht="24" x14ac:dyDescent="0.3">
      <c r="B9" s="262">
        <v>5</v>
      </c>
      <c r="C9" s="60" t="s">
        <v>539</v>
      </c>
      <c r="D9" s="61" t="s">
        <v>540</v>
      </c>
      <c r="E9" s="62" t="s">
        <v>542</v>
      </c>
      <c r="F9" s="62" t="s">
        <v>543</v>
      </c>
      <c r="G9" s="62" t="s">
        <v>544</v>
      </c>
      <c r="H9" s="61" t="s">
        <v>504</v>
      </c>
      <c r="I9" s="61">
        <v>4.0999999999999996</v>
      </c>
      <c r="J9" s="61" t="s">
        <v>545</v>
      </c>
      <c r="K9" s="61" t="s">
        <v>525</v>
      </c>
      <c r="L9" s="263" t="s">
        <v>526</v>
      </c>
    </row>
    <row r="10" spans="2:12" ht="24" x14ac:dyDescent="0.3">
      <c r="B10" s="262">
        <v>6</v>
      </c>
      <c r="C10" s="60" t="s">
        <v>546</v>
      </c>
      <c r="D10" s="61" t="s">
        <v>547</v>
      </c>
      <c r="E10" s="62" t="s">
        <v>542</v>
      </c>
      <c r="F10" s="62" t="s">
        <v>543</v>
      </c>
      <c r="G10" s="62" t="s">
        <v>544</v>
      </c>
      <c r="H10" s="61" t="s">
        <v>550</v>
      </c>
      <c r="I10" s="61">
        <v>4.2</v>
      </c>
      <c r="J10" s="61" t="s">
        <v>524</v>
      </c>
      <c r="K10" s="61" t="s">
        <v>525</v>
      </c>
      <c r="L10" s="263" t="s">
        <v>526</v>
      </c>
    </row>
    <row r="11" spans="2:12" ht="24" x14ac:dyDescent="0.3">
      <c r="B11" s="262">
        <v>7</v>
      </c>
      <c r="C11" s="60" t="s">
        <v>551</v>
      </c>
      <c r="D11" s="61" t="s">
        <v>553</v>
      </c>
      <c r="E11" s="62" t="s">
        <v>555</v>
      </c>
      <c r="F11" s="62" t="s">
        <v>556</v>
      </c>
      <c r="G11" s="62" t="s">
        <v>557</v>
      </c>
      <c r="H11" s="61" t="s">
        <v>558</v>
      </c>
      <c r="I11" s="61">
        <v>4</v>
      </c>
      <c r="J11" s="61" t="s">
        <v>537</v>
      </c>
      <c r="K11" s="61" t="s">
        <v>494</v>
      </c>
      <c r="L11" s="263" t="s">
        <v>515</v>
      </c>
    </row>
    <row r="12" spans="2:12" ht="24" x14ac:dyDescent="0.3">
      <c r="B12" s="262">
        <v>8</v>
      </c>
      <c r="C12" s="60" t="s">
        <v>559</v>
      </c>
      <c r="D12" s="61" t="s">
        <v>561</v>
      </c>
      <c r="E12" s="62" t="s">
        <v>563</v>
      </c>
      <c r="F12" s="62" t="s">
        <v>564</v>
      </c>
      <c r="G12" s="62" t="s">
        <v>565</v>
      </c>
      <c r="H12" s="61" t="s">
        <v>566</v>
      </c>
      <c r="I12" s="61">
        <v>4.2</v>
      </c>
      <c r="J12" s="61" t="s">
        <v>1699</v>
      </c>
      <c r="K12" s="61" t="s">
        <v>494</v>
      </c>
      <c r="L12" s="263" t="s">
        <v>568</v>
      </c>
    </row>
    <row r="13" spans="2:12" ht="12" x14ac:dyDescent="0.3">
      <c r="B13" s="262">
        <v>9</v>
      </c>
      <c r="C13" s="60" t="s">
        <v>569</v>
      </c>
      <c r="D13" s="61" t="s">
        <v>570</v>
      </c>
      <c r="E13" s="62" t="s">
        <v>572</v>
      </c>
      <c r="F13" s="62" t="s">
        <v>573</v>
      </c>
      <c r="G13" s="62" t="s">
        <v>574</v>
      </c>
      <c r="H13" s="61" t="s">
        <v>504</v>
      </c>
      <c r="I13" s="61">
        <v>4.0999999999999996</v>
      </c>
      <c r="J13" s="61" t="s">
        <v>537</v>
      </c>
      <c r="K13" s="61" t="s">
        <v>494</v>
      </c>
      <c r="L13" s="263" t="s">
        <v>576</v>
      </c>
    </row>
    <row r="14" spans="2:12" ht="24" x14ac:dyDescent="0.3">
      <c r="B14" s="262">
        <v>10</v>
      </c>
      <c r="C14" s="60" t="s">
        <v>584</v>
      </c>
      <c r="D14" s="61" t="s">
        <v>586</v>
      </c>
      <c r="E14" s="62" t="s">
        <v>579</v>
      </c>
      <c r="F14" s="62" t="s">
        <v>580</v>
      </c>
      <c r="G14" s="62" t="s">
        <v>581</v>
      </c>
      <c r="H14" s="61" t="s">
        <v>550</v>
      </c>
      <c r="I14" s="61">
        <v>4.2</v>
      </c>
      <c r="J14" s="61" t="s">
        <v>1759</v>
      </c>
      <c r="K14" s="61" t="s">
        <v>525</v>
      </c>
      <c r="L14" s="263">
        <v>7</v>
      </c>
    </row>
    <row r="15" spans="2:12" ht="24" x14ac:dyDescent="0.3">
      <c r="B15" s="262">
        <v>11</v>
      </c>
      <c r="C15" s="60" t="s">
        <v>588</v>
      </c>
      <c r="D15" s="61" t="s">
        <v>589</v>
      </c>
      <c r="E15" s="62" t="s">
        <v>579</v>
      </c>
      <c r="F15" s="62" t="s">
        <v>580</v>
      </c>
      <c r="G15" s="62" t="s">
        <v>581</v>
      </c>
      <c r="H15" s="61" t="s">
        <v>550</v>
      </c>
      <c r="I15" s="61">
        <v>4.2</v>
      </c>
      <c r="J15" s="61" t="s">
        <v>537</v>
      </c>
      <c r="K15" s="61" t="s">
        <v>525</v>
      </c>
      <c r="L15" s="263" t="s">
        <v>591</v>
      </c>
    </row>
    <row r="16" spans="2:12" ht="24" x14ac:dyDescent="0.3">
      <c r="B16" s="262">
        <v>12</v>
      </c>
      <c r="C16" s="60" t="s">
        <v>592</v>
      </c>
      <c r="D16" s="61" t="s">
        <v>2537</v>
      </c>
      <c r="E16" s="62" t="s">
        <v>603</v>
      </c>
      <c r="F16" s="62" t="s">
        <v>596</v>
      </c>
      <c r="G16" s="62" t="s">
        <v>597</v>
      </c>
      <c r="H16" s="61" t="s">
        <v>550</v>
      </c>
      <c r="I16" s="61">
        <v>4.2</v>
      </c>
      <c r="J16" s="61" t="s">
        <v>1718</v>
      </c>
      <c r="K16" s="61" t="s">
        <v>525</v>
      </c>
      <c r="L16" s="263">
        <v>7</v>
      </c>
    </row>
    <row r="17" spans="2:12" ht="24" x14ac:dyDescent="0.3">
      <c r="B17" s="262">
        <v>13</v>
      </c>
      <c r="C17" s="60" t="s">
        <v>606</v>
      </c>
      <c r="D17" s="61" t="s">
        <v>1964</v>
      </c>
      <c r="E17" s="62" t="s">
        <v>603</v>
      </c>
      <c r="F17" s="62" t="s">
        <v>596</v>
      </c>
      <c r="G17" s="62" t="s">
        <v>597</v>
      </c>
      <c r="H17" s="61" t="s">
        <v>550</v>
      </c>
      <c r="I17" s="61">
        <v>4.2</v>
      </c>
      <c r="J17" s="61" t="s">
        <v>1718</v>
      </c>
      <c r="K17" s="61" t="s">
        <v>525</v>
      </c>
      <c r="L17" s="263">
        <v>7</v>
      </c>
    </row>
    <row r="18" spans="2:12" ht="24" x14ac:dyDescent="0.3">
      <c r="B18" s="262">
        <v>14</v>
      </c>
      <c r="C18" s="60" t="s">
        <v>609</v>
      </c>
      <c r="D18" s="61" t="s">
        <v>610</v>
      </c>
      <c r="E18" s="62" t="s">
        <v>612</v>
      </c>
      <c r="F18" s="62" t="s">
        <v>613</v>
      </c>
      <c r="G18" s="62" t="s">
        <v>614</v>
      </c>
      <c r="H18" s="61" t="s">
        <v>550</v>
      </c>
      <c r="I18" s="61">
        <v>4.2</v>
      </c>
      <c r="J18" s="61" t="s">
        <v>1681</v>
      </c>
      <c r="K18" s="61" t="s">
        <v>494</v>
      </c>
      <c r="L18" s="263">
        <v>10</v>
      </c>
    </row>
    <row r="19" spans="2:12" ht="24" x14ac:dyDescent="0.3">
      <c r="B19" s="262">
        <v>15</v>
      </c>
      <c r="C19" s="60" t="s">
        <v>616</v>
      </c>
      <c r="D19" s="61" t="s">
        <v>617</v>
      </c>
      <c r="E19" s="62" t="s">
        <v>612</v>
      </c>
      <c r="F19" s="62" t="s">
        <v>613</v>
      </c>
      <c r="G19" s="62" t="s">
        <v>614</v>
      </c>
      <c r="H19" s="61" t="s">
        <v>550</v>
      </c>
      <c r="I19" s="61">
        <v>4.2</v>
      </c>
      <c r="J19" s="61" t="s">
        <v>537</v>
      </c>
      <c r="K19" s="61" t="s">
        <v>525</v>
      </c>
      <c r="L19" s="263">
        <v>10</v>
      </c>
    </row>
    <row r="20" spans="2:12" ht="24" x14ac:dyDescent="0.3">
      <c r="B20" s="262">
        <v>16</v>
      </c>
      <c r="C20" s="60" t="s">
        <v>2386</v>
      </c>
      <c r="D20" s="61" t="s">
        <v>1487</v>
      </c>
      <c r="E20" s="62" t="s">
        <v>634</v>
      </c>
      <c r="F20" s="62" t="s">
        <v>635</v>
      </c>
      <c r="G20" s="62" t="s">
        <v>636</v>
      </c>
      <c r="H20" s="61" t="s">
        <v>550</v>
      </c>
      <c r="I20" s="61">
        <v>5</v>
      </c>
      <c r="J20" s="61" t="s">
        <v>1397</v>
      </c>
      <c r="K20" s="61" t="s">
        <v>638</v>
      </c>
      <c r="L20" s="263">
        <v>7</v>
      </c>
    </row>
    <row r="21" spans="2:12" ht="24" x14ac:dyDescent="0.3">
      <c r="B21" s="262">
        <v>17</v>
      </c>
      <c r="C21" s="60" t="s">
        <v>639</v>
      </c>
      <c r="D21" s="61" t="s">
        <v>2538</v>
      </c>
      <c r="E21" s="62" t="s">
        <v>612</v>
      </c>
      <c r="F21" s="62" t="s">
        <v>613</v>
      </c>
      <c r="G21" s="62" t="s">
        <v>614</v>
      </c>
      <c r="H21" s="61" t="s">
        <v>550</v>
      </c>
      <c r="I21" s="61">
        <v>4.2</v>
      </c>
      <c r="J21" s="61" t="s">
        <v>2387</v>
      </c>
      <c r="K21" s="61" t="s">
        <v>643</v>
      </c>
      <c r="L21" s="263">
        <v>7</v>
      </c>
    </row>
    <row r="22" spans="2:12" ht="12" x14ac:dyDescent="0.3">
      <c r="B22" s="262">
        <v>18</v>
      </c>
      <c r="C22" s="60" t="s">
        <v>644</v>
      </c>
      <c r="D22" s="61" t="s">
        <v>475</v>
      </c>
      <c r="E22" s="62" t="s">
        <v>645</v>
      </c>
      <c r="F22" s="62" t="s">
        <v>646</v>
      </c>
      <c r="G22" s="62" t="s">
        <v>647</v>
      </c>
      <c r="H22" s="61" t="s">
        <v>566</v>
      </c>
      <c r="I22" s="61">
        <v>4</v>
      </c>
      <c r="J22" s="61" t="s">
        <v>481</v>
      </c>
      <c r="K22" s="61" t="s">
        <v>482</v>
      </c>
      <c r="L22" s="263">
        <v>4.3</v>
      </c>
    </row>
    <row r="23" spans="2:12" ht="24" x14ac:dyDescent="0.3">
      <c r="B23" s="262">
        <v>19</v>
      </c>
      <c r="C23" s="60" t="s">
        <v>649</v>
      </c>
      <c r="D23" s="61" t="s">
        <v>650</v>
      </c>
      <c r="E23" s="62" t="s">
        <v>652</v>
      </c>
      <c r="F23" s="62" t="s">
        <v>653</v>
      </c>
      <c r="G23" s="62" t="s">
        <v>654</v>
      </c>
      <c r="H23" s="61" t="s">
        <v>504</v>
      </c>
      <c r="I23" s="61">
        <v>4</v>
      </c>
      <c r="J23" s="61" t="s">
        <v>2388</v>
      </c>
      <c r="K23" s="61" t="s">
        <v>494</v>
      </c>
      <c r="L23" s="263">
        <v>5</v>
      </c>
    </row>
    <row r="24" spans="2:12" ht="24" x14ac:dyDescent="0.3">
      <c r="B24" s="262">
        <v>20</v>
      </c>
      <c r="C24" s="60" t="s">
        <v>656</v>
      </c>
      <c r="D24" s="61" t="s">
        <v>657</v>
      </c>
      <c r="E24" s="62" t="s">
        <v>555</v>
      </c>
      <c r="F24" s="62" t="s">
        <v>556</v>
      </c>
      <c r="G24" s="62" t="s">
        <v>659</v>
      </c>
      <c r="H24" s="61" t="s">
        <v>566</v>
      </c>
      <c r="I24" s="61">
        <v>4</v>
      </c>
      <c r="J24" s="61" t="s">
        <v>1759</v>
      </c>
      <c r="K24" s="61" t="s">
        <v>494</v>
      </c>
      <c r="L24" s="263">
        <v>5</v>
      </c>
    </row>
    <row r="25" spans="2:12" ht="24" x14ac:dyDescent="0.3">
      <c r="B25" s="262">
        <v>21</v>
      </c>
      <c r="C25" s="60" t="s">
        <v>660</v>
      </c>
      <c r="D25" s="61" t="s">
        <v>547</v>
      </c>
      <c r="E25" s="62" t="s">
        <v>542</v>
      </c>
      <c r="F25" s="62" t="s">
        <v>543</v>
      </c>
      <c r="G25" s="62" t="s">
        <v>544</v>
      </c>
      <c r="H25" s="61" t="s">
        <v>550</v>
      </c>
      <c r="I25" s="61">
        <v>4.2</v>
      </c>
      <c r="J25" s="61" t="s">
        <v>524</v>
      </c>
      <c r="K25" s="61" t="s">
        <v>525</v>
      </c>
      <c r="L25" s="263">
        <v>7</v>
      </c>
    </row>
    <row r="26" spans="2:12" ht="24" x14ac:dyDescent="0.3">
      <c r="B26" s="262">
        <v>22</v>
      </c>
      <c r="C26" s="60" t="s">
        <v>668</v>
      </c>
      <c r="D26" s="61" t="s">
        <v>586</v>
      </c>
      <c r="E26" s="62" t="s">
        <v>579</v>
      </c>
      <c r="F26" s="62" t="s">
        <v>580</v>
      </c>
      <c r="G26" s="62" t="s">
        <v>581</v>
      </c>
      <c r="H26" s="61" t="s">
        <v>550</v>
      </c>
      <c r="I26" s="61">
        <v>4.2</v>
      </c>
      <c r="J26" s="61" t="s">
        <v>1759</v>
      </c>
      <c r="K26" s="61" t="s">
        <v>525</v>
      </c>
      <c r="L26" s="263" t="s">
        <v>591</v>
      </c>
    </row>
    <row r="27" spans="2:12" ht="24" x14ac:dyDescent="0.3">
      <c r="B27" s="262">
        <v>23</v>
      </c>
      <c r="C27" s="60" t="s">
        <v>2389</v>
      </c>
      <c r="D27" s="61" t="s">
        <v>1499</v>
      </c>
      <c r="E27" s="62" t="s">
        <v>673</v>
      </c>
      <c r="F27" s="62" t="s">
        <v>674</v>
      </c>
      <c r="G27" s="62" t="s">
        <v>675</v>
      </c>
      <c r="H27" s="61" t="s">
        <v>550</v>
      </c>
      <c r="I27" s="61">
        <v>5</v>
      </c>
      <c r="J27" s="61" t="s">
        <v>1397</v>
      </c>
      <c r="K27" s="61" t="s">
        <v>638</v>
      </c>
      <c r="L27" s="263">
        <v>9</v>
      </c>
    </row>
    <row r="28" spans="2:12" ht="24" x14ac:dyDescent="0.3">
      <c r="B28" s="262">
        <v>24</v>
      </c>
      <c r="C28" s="60" t="s">
        <v>2539</v>
      </c>
      <c r="D28" s="61" t="s">
        <v>2540</v>
      </c>
      <c r="E28" s="62" t="s">
        <v>710</v>
      </c>
      <c r="F28" s="62" t="s">
        <v>690</v>
      </c>
      <c r="G28" s="62" t="s">
        <v>711</v>
      </c>
      <c r="H28" s="61" t="s">
        <v>550</v>
      </c>
      <c r="I28" s="61" t="s">
        <v>692</v>
      </c>
      <c r="J28" s="61" t="s">
        <v>979</v>
      </c>
      <c r="K28" s="61" t="s">
        <v>694</v>
      </c>
      <c r="L28" s="263" t="s">
        <v>591</v>
      </c>
    </row>
    <row r="29" spans="2:12" ht="24" x14ac:dyDescent="0.3">
      <c r="B29" s="262">
        <v>25</v>
      </c>
      <c r="C29" s="60" t="s">
        <v>2390</v>
      </c>
      <c r="D29" s="61" t="s">
        <v>2541</v>
      </c>
      <c r="E29" s="62" t="s">
        <v>710</v>
      </c>
      <c r="F29" s="62" t="s">
        <v>690</v>
      </c>
      <c r="G29" s="62" t="s">
        <v>711</v>
      </c>
      <c r="H29" s="61" t="s">
        <v>712</v>
      </c>
      <c r="I29" s="61">
        <v>5</v>
      </c>
      <c r="J29" s="61" t="s">
        <v>2391</v>
      </c>
      <c r="K29" s="61" t="s">
        <v>2392</v>
      </c>
      <c r="L29" s="263">
        <v>8.1</v>
      </c>
    </row>
    <row r="30" spans="2:12" ht="24" x14ac:dyDescent="0.3">
      <c r="B30" s="262">
        <v>26</v>
      </c>
      <c r="C30" s="60" t="s">
        <v>715</v>
      </c>
      <c r="D30" s="61" t="s">
        <v>1954</v>
      </c>
      <c r="E30" s="62" t="s">
        <v>1955</v>
      </c>
      <c r="F30" s="62" t="s">
        <v>719</v>
      </c>
      <c r="G30" s="62" t="s">
        <v>2393</v>
      </c>
      <c r="H30" s="61" t="s">
        <v>550</v>
      </c>
      <c r="I30" s="61">
        <v>5</v>
      </c>
      <c r="J30" s="61" t="s">
        <v>1956</v>
      </c>
      <c r="K30" s="61" t="s">
        <v>722</v>
      </c>
      <c r="L30" s="263">
        <v>8.1</v>
      </c>
    </row>
    <row r="31" spans="2:12" ht="36" x14ac:dyDescent="0.3">
      <c r="B31" s="262">
        <v>27</v>
      </c>
      <c r="C31" s="60" t="s">
        <v>2394</v>
      </c>
      <c r="D31" s="61" t="s">
        <v>2395</v>
      </c>
      <c r="E31" s="62" t="s">
        <v>727</v>
      </c>
      <c r="F31" s="62" t="s">
        <v>728</v>
      </c>
      <c r="G31" s="62" t="s">
        <v>729</v>
      </c>
      <c r="H31" s="61" t="s">
        <v>730</v>
      </c>
      <c r="I31" s="61">
        <v>5</v>
      </c>
      <c r="J31" s="61" t="s">
        <v>979</v>
      </c>
      <c r="K31" s="61" t="s">
        <v>731</v>
      </c>
      <c r="L31" s="263">
        <v>10</v>
      </c>
    </row>
    <row r="32" spans="2:12" ht="24" x14ac:dyDescent="0.3">
      <c r="B32" s="262">
        <v>28</v>
      </c>
      <c r="C32" s="60" t="s">
        <v>740</v>
      </c>
      <c r="D32" s="61" t="s">
        <v>742</v>
      </c>
      <c r="E32" s="62" t="s">
        <v>744</v>
      </c>
      <c r="F32" s="62" t="s">
        <v>745</v>
      </c>
      <c r="G32" s="62" t="s">
        <v>746</v>
      </c>
      <c r="H32" s="61" t="s">
        <v>730</v>
      </c>
      <c r="I32" s="61">
        <v>5</v>
      </c>
      <c r="J32" s="61" t="s">
        <v>747</v>
      </c>
      <c r="K32" s="61" t="s">
        <v>738</v>
      </c>
      <c r="L32" s="263">
        <v>10</v>
      </c>
    </row>
    <row r="33" spans="2:12" ht="24" x14ac:dyDescent="0.3">
      <c r="B33" s="262">
        <v>29</v>
      </c>
      <c r="C33" s="60" t="s">
        <v>2396</v>
      </c>
      <c r="D33" s="61" t="s">
        <v>759</v>
      </c>
      <c r="E33" s="62" t="s">
        <v>761</v>
      </c>
      <c r="F33" s="62" t="s">
        <v>762</v>
      </c>
      <c r="G33" s="62" t="s">
        <v>763</v>
      </c>
      <c r="H33" s="61" t="s">
        <v>550</v>
      </c>
      <c r="I33" s="61">
        <v>4.2</v>
      </c>
      <c r="J33" s="61" t="s">
        <v>2397</v>
      </c>
      <c r="K33" s="61" t="s">
        <v>765</v>
      </c>
      <c r="L33" s="263">
        <v>8</v>
      </c>
    </row>
    <row r="34" spans="2:12" ht="24" x14ac:dyDescent="0.3">
      <c r="B34" s="262">
        <v>30</v>
      </c>
      <c r="C34" s="60" t="s">
        <v>766</v>
      </c>
      <c r="D34" s="61" t="s">
        <v>767</v>
      </c>
      <c r="E34" s="62" t="s">
        <v>769</v>
      </c>
      <c r="F34" s="62" t="s">
        <v>770</v>
      </c>
      <c r="G34" s="62" t="s">
        <v>771</v>
      </c>
      <c r="H34" s="61" t="s">
        <v>712</v>
      </c>
      <c r="I34" s="61">
        <v>4.2</v>
      </c>
      <c r="J34" s="61" t="s">
        <v>2398</v>
      </c>
      <c r="K34" s="61" t="s">
        <v>704</v>
      </c>
      <c r="L34" s="263">
        <v>9</v>
      </c>
    </row>
    <row r="35" spans="2:12" ht="24" x14ac:dyDescent="0.3">
      <c r="B35" s="262">
        <v>31</v>
      </c>
      <c r="C35" s="60" t="s">
        <v>2399</v>
      </c>
      <c r="D35" s="61" t="s">
        <v>2542</v>
      </c>
      <c r="E35" s="62" t="s">
        <v>778</v>
      </c>
      <c r="F35" s="62" t="s">
        <v>779</v>
      </c>
      <c r="G35" s="62" t="s">
        <v>780</v>
      </c>
      <c r="H35" s="61" t="s">
        <v>550</v>
      </c>
      <c r="I35" s="61">
        <v>4.2</v>
      </c>
      <c r="J35" s="61" t="s">
        <v>2400</v>
      </c>
      <c r="K35" s="61" t="s">
        <v>738</v>
      </c>
      <c r="L35" s="263">
        <v>9</v>
      </c>
    </row>
    <row r="36" spans="2:12" ht="36" x14ac:dyDescent="0.3">
      <c r="B36" s="262">
        <v>32</v>
      </c>
      <c r="C36" s="60" t="s">
        <v>2401</v>
      </c>
      <c r="D36" s="61" t="s">
        <v>1534</v>
      </c>
      <c r="E36" s="62" t="s">
        <v>786</v>
      </c>
      <c r="F36" s="62" t="s">
        <v>787</v>
      </c>
      <c r="G36" s="62" t="s">
        <v>788</v>
      </c>
      <c r="H36" s="61" t="s">
        <v>712</v>
      </c>
      <c r="I36" s="61">
        <v>5</v>
      </c>
      <c r="J36" s="61" t="s">
        <v>988</v>
      </c>
      <c r="K36" s="61" t="s">
        <v>790</v>
      </c>
      <c r="L36" s="263">
        <v>11</v>
      </c>
    </row>
    <row r="37" spans="2:12" ht="24" x14ac:dyDescent="0.3">
      <c r="B37" s="262">
        <v>33</v>
      </c>
      <c r="C37" s="60" t="s">
        <v>793</v>
      </c>
      <c r="D37" s="61" t="s">
        <v>2402</v>
      </c>
      <c r="E37" s="62" t="s">
        <v>710</v>
      </c>
      <c r="F37" s="62" t="s">
        <v>690</v>
      </c>
      <c r="G37" s="62" t="s">
        <v>711</v>
      </c>
      <c r="H37" s="61" t="s">
        <v>730</v>
      </c>
      <c r="I37" s="61">
        <v>5</v>
      </c>
      <c r="J37" s="61" t="s">
        <v>2387</v>
      </c>
      <c r="K37" s="61" t="s">
        <v>525</v>
      </c>
      <c r="L37" s="263" t="s">
        <v>629</v>
      </c>
    </row>
    <row r="38" spans="2:12" ht="36" x14ac:dyDescent="0.3">
      <c r="B38" s="262">
        <v>34</v>
      </c>
      <c r="C38" s="60" t="s">
        <v>797</v>
      </c>
      <c r="D38" s="61" t="s">
        <v>2543</v>
      </c>
      <c r="E38" s="62" t="s">
        <v>786</v>
      </c>
      <c r="F38" s="62" t="s">
        <v>787</v>
      </c>
      <c r="G38" s="62" t="s">
        <v>788</v>
      </c>
      <c r="H38" s="61" t="s">
        <v>712</v>
      </c>
      <c r="I38" s="61">
        <v>5</v>
      </c>
      <c r="J38" s="61" t="s">
        <v>979</v>
      </c>
      <c r="K38" s="61" t="s">
        <v>694</v>
      </c>
      <c r="L38" s="263">
        <v>10</v>
      </c>
    </row>
    <row r="39" spans="2:12" ht="24" x14ac:dyDescent="0.3">
      <c r="B39" s="262">
        <v>35</v>
      </c>
      <c r="C39" s="60" t="s">
        <v>2403</v>
      </c>
      <c r="D39" s="61" t="s">
        <v>2544</v>
      </c>
      <c r="E39" s="62" t="s">
        <v>710</v>
      </c>
      <c r="F39" s="62" t="s">
        <v>690</v>
      </c>
      <c r="G39" s="62" t="s">
        <v>711</v>
      </c>
      <c r="H39" s="61" t="s">
        <v>712</v>
      </c>
      <c r="I39" s="61">
        <v>5</v>
      </c>
      <c r="J39" s="61" t="s">
        <v>747</v>
      </c>
      <c r="K39" s="61" t="s">
        <v>694</v>
      </c>
      <c r="L39" s="263">
        <v>9</v>
      </c>
    </row>
    <row r="40" spans="2:12" ht="36" x14ac:dyDescent="0.3">
      <c r="B40" s="262">
        <v>36</v>
      </c>
      <c r="C40" s="60" t="s">
        <v>2404</v>
      </c>
      <c r="D40" s="61" t="s">
        <v>2405</v>
      </c>
      <c r="E40" s="62" t="s">
        <v>786</v>
      </c>
      <c r="F40" s="62" t="s">
        <v>787</v>
      </c>
      <c r="G40" s="62" t="s">
        <v>788</v>
      </c>
      <c r="H40" s="61" t="s">
        <v>730</v>
      </c>
      <c r="I40" s="61">
        <v>5</v>
      </c>
      <c r="J40" s="61" t="s">
        <v>2406</v>
      </c>
      <c r="K40" s="61" t="s">
        <v>738</v>
      </c>
      <c r="L40" s="263">
        <v>9</v>
      </c>
    </row>
    <row r="41" spans="2:12" ht="36" x14ac:dyDescent="0.3">
      <c r="B41" s="262">
        <v>37</v>
      </c>
      <c r="C41" s="60" t="s">
        <v>849</v>
      </c>
      <c r="D41" s="61" t="s">
        <v>1504</v>
      </c>
      <c r="E41" s="62" t="s">
        <v>786</v>
      </c>
      <c r="F41" s="62" t="s">
        <v>787</v>
      </c>
      <c r="G41" s="62" t="s">
        <v>788</v>
      </c>
      <c r="H41" s="61" t="s">
        <v>712</v>
      </c>
      <c r="I41" s="61">
        <v>5</v>
      </c>
      <c r="J41" s="61" t="s">
        <v>747</v>
      </c>
      <c r="K41" s="61" t="s">
        <v>694</v>
      </c>
      <c r="L41" s="263">
        <v>10</v>
      </c>
    </row>
    <row r="42" spans="2:12" ht="36" x14ac:dyDescent="0.3">
      <c r="B42" s="262">
        <v>38</v>
      </c>
      <c r="C42" s="60" t="s">
        <v>855</v>
      </c>
      <c r="D42" s="61" t="s">
        <v>2545</v>
      </c>
      <c r="E42" s="62" t="s">
        <v>2546</v>
      </c>
      <c r="F42" s="62" t="s">
        <v>2547</v>
      </c>
      <c r="G42" s="62" t="s">
        <v>2548</v>
      </c>
      <c r="H42" s="61" t="s">
        <v>730</v>
      </c>
      <c r="I42" s="61">
        <v>5.0999999999999996</v>
      </c>
      <c r="J42" s="62" t="s">
        <v>1009</v>
      </c>
      <c r="K42" s="62" t="s">
        <v>863</v>
      </c>
      <c r="L42" s="263">
        <v>10</v>
      </c>
    </row>
    <row r="43" spans="2:12" ht="24" x14ac:dyDescent="0.3">
      <c r="B43" s="262">
        <v>39</v>
      </c>
      <c r="C43" s="60" t="s">
        <v>864</v>
      </c>
      <c r="D43" s="61" t="s">
        <v>1545</v>
      </c>
      <c r="E43" s="62" t="s">
        <v>710</v>
      </c>
      <c r="F43" s="62" t="s">
        <v>690</v>
      </c>
      <c r="G43" s="62" t="s">
        <v>711</v>
      </c>
      <c r="H43" s="61" t="s">
        <v>712</v>
      </c>
      <c r="I43" s="61">
        <v>5.0999999999999996</v>
      </c>
      <c r="J43" s="61" t="s">
        <v>1009</v>
      </c>
      <c r="K43" s="61" t="s">
        <v>863</v>
      </c>
      <c r="L43" s="263">
        <v>11</v>
      </c>
    </row>
    <row r="44" spans="2:12" ht="24" x14ac:dyDescent="0.3">
      <c r="B44" s="262">
        <v>40</v>
      </c>
      <c r="C44" s="60" t="s">
        <v>867</v>
      </c>
      <c r="D44" s="61" t="s">
        <v>1539</v>
      </c>
      <c r="E44" s="62" t="s">
        <v>673</v>
      </c>
      <c r="F44" s="62" t="s">
        <v>674</v>
      </c>
      <c r="G44" s="62" t="s">
        <v>675</v>
      </c>
      <c r="H44" s="61" t="s">
        <v>712</v>
      </c>
      <c r="I44" s="61">
        <v>5</v>
      </c>
      <c r="J44" s="61" t="s">
        <v>995</v>
      </c>
      <c r="K44" s="61" t="s">
        <v>638</v>
      </c>
      <c r="L44" s="263">
        <v>10</v>
      </c>
    </row>
    <row r="45" spans="2:12" ht="36" x14ac:dyDescent="0.3">
      <c r="B45" s="262">
        <v>41</v>
      </c>
      <c r="C45" s="60" t="s">
        <v>870</v>
      </c>
      <c r="D45" s="61" t="s">
        <v>871</v>
      </c>
      <c r="E45" s="62" t="s">
        <v>727</v>
      </c>
      <c r="F45" s="62" t="s">
        <v>728</v>
      </c>
      <c r="G45" s="62" t="s">
        <v>729</v>
      </c>
      <c r="H45" s="61" t="s">
        <v>712</v>
      </c>
      <c r="I45" s="61">
        <v>5</v>
      </c>
      <c r="J45" s="61" t="s">
        <v>1397</v>
      </c>
      <c r="K45" s="61" t="s">
        <v>704</v>
      </c>
      <c r="L45" s="263">
        <v>11</v>
      </c>
    </row>
    <row r="46" spans="2:12" ht="36" x14ac:dyDescent="0.3">
      <c r="B46" s="262">
        <v>42</v>
      </c>
      <c r="C46" s="60" t="s">
        <v>2407</v>
      </c>
      <c r="D46" s="61" t="s">
        <v>2408</v>
      </c>
      <c r="E46" s="62" t="s">
        <v>816</v>
      </c>
      <c r="F46" s="62" t="s">
        <v>817</v>
      </c>
      <c r="G46" s="62" t="s">
        <v>818</v>
      </c>
      <c r="H46" s="61" t="s">
        <v>712</v>
      </c>
      <c r="I46" s="61">
        <v>5</v>
      </c>
      <c r="J46" s="61" t="s">
        <v>970</v>
      </c>
      <c r="K46" s="61" t="s">
        <v>790</v>
      </c>
      <c r="L46" s="263">
        <v>13</v>
      </c>
    </row>
    <row r="47" spans="2:12" ht="24" x14ac:dyDescent="0.3">
      <c r="B47" s="262">
        <v>43</v>
      </c>
      <c r="C47" s="60" t="s">
        <v>2409</v>
      </c>
      <c r="D47" s="61" t="s">
        <v>879</v>
      </c>
      <c r="E47" s="62" t="s">
        <v>881</v>
      </c>
      <c r="F47" s="62" t="s">
        <v>2410</v>
      </c>
      <c r="G47" s="62" t="s">
        <v>2411</v>
      </c>
      <c r="H47" s="61" t="s">
        <v>712</v>
      </c>
      <c r="I47" s="61">
        <v>5</v>
      </c>
      <c r="J47" s="61" t="s">
        <v>970</v>
      </c>
      <c r="K47" s="61" t="s">
        <v>790</v>
      </c>
      <c r="L47" s="263">
        <v>11</v>
      </c>
    </row>
    <row r="48" spans="2:12" ht="24" x14ac:dyDescent="0.3">
      <c r="B48" s="262">
        <v>44</v>
      </c>
      <c r="C48" s="60" t="s">
        <v>884</v>
      </c>
      <c r="D48" s="61" t="s">
        <v>2549</v>
      </c>
      <c r="E48" s="62" t="s">
        <v>2550</v>
      </c>
      <c r="F48" s="62" t="s">
        <v>2551</v>
      </c>
      <c r="G48" s="62" t="s">
        <v>2552</v>
      </c>
      <c r="H48" s="61" t="s">
        <v>550</v>
      </c>
      <c r="I48" s="61">
        <v>5.0999999999999996</v>
      </c>
      <c r="J48" s="61" t="s">
        <v>2457</v>
      </c>
      <c r="K48" s="61" t="s">
        <v>738</v>
      </c>
      <c r="L48" s="263">
        <v>10</v>
      </c>
    </row>
    <row r="49" spans="2:12" ht="24" x14ac:dyDescent="0.3">
      <c r="B49" s="262">
        <v>45</v>
      </c>
      <c r="C49" s="60" t="s">
        <v>891</v>
      </c>
      <c r="D49" s="61" t="s">
        <v>2553</v>
      </c>
      <c r="E49" s="62" t="s">
        <v>2554</v>
      </c>
      <c r="F49" s="62" t="s">
        <v>2555</v>
      </c>
      <c r="G49" s="62" t="s">
        <v>2556</v>
      </c>
      <c r="H49" s="61" t="s">
        <v>712</v>
      </c>
      <c r="I49" s="61">
        <v>5.0999999999999996</v>
      </c>
      <c r="J49" s="61" t="s">
        <v>1620</v>
      </c>
      <c r="K49" s="61" t="s">
        <v>790</v>
      </c>
      <c r="L49" s="263">
        <v>10</v>
      </c>
    </row>
    <row r="50" spans="2:12" ht="24" x14ac:dyDescent="0.3">
      <c r="B50" s="262">
        <v>46</v>
      </c>
      <c r="C50" s="60" t="s">
        <v>2557</v>
      </c>
      <c r="D50" s="61" t="s">
        <v>2558</v>
      </c>
      <c r="E50" s="62" t="s">
        <v>2559</v>
      </c>
      <c r="F50" s="62" t="s">
        <v>2560</v>
      </c>
      <c r="G50" s="62" t="s">
        <v>2561</v>
      </c>
      <c r="H50" s="61" t="s">
        <v>550</v>
      </c>
      <c r="I50" s="61">
        <v>5</v>
      </c>
      <c r="J50" s="61" t="s">
        <v>2457</v>
      </c>
      <c r="K50" s="61" t="s">
        <v>738</v>
      </c>
      <c r="L50" s="263">
        <v>10</v>
      </c>
    </row>
    <row r="51" spans="2:12" ht="24" x14ac:dyDescent="0.3">
      <c r="B51" s="262">
        <v>47</v>
      </c>
      <c r="C51" s="60" t="s">
        <v>915</v>
      </c>
      <c r="D51" s="61" t="s">
        <v>2562</v>
      </c>
      <c r="E51" s="62" t="s">
        <v>918</v>
      </c>
      <c r="F51" s="62" t="s">
        <v>2412</v>
      </c>
      <c r="G51" s="62" t="s">
        <v>920</v>
      </c>
      <c r="H51" s="61" t="s">
        <v>550</v>
      </c>
      <c r="I51" s="61">
        <v>4.2</v>
      </c>
      <c r="J51" s="61" t="s">
        <v>1490</v>
      </c>
      <c r="K51" s="61" t="s">
        <v>738</v>
      </c>
      <c r="L51" s="263">
        <v>9</v>
      </c>
    </row>
    <row r="52" spans="2:12" ht="24" x14ac:dyDescent="0.3">
      <c r="B52" s="262">
        <v>48</v>
      </c>
      <c r="C52" s="60" t="s">
        <v>921</v>
      </c>
      <c r="D52" s="61" t="s">
        <v>2413</v>
      </c>
      <c r="E52" s="62" t="s">
        <v>925</v>
      </c>
      <c r="F52" s="62" t="s">
        <v>934</v>
      </c>
      <c r="G52" s="62" t="s">
        <v>927</v>
      </c>
      <c r="H52" s="61" t="s">
        <v>550</v>
      </c>
      <c r="I52" s="61">
        <v>5</v>
      </c>
      <c r="J52" s="61" t="s">
        <v>537</v>
      </c>
      <c r="K52" s="61" t="s">
        <v>765</v>
      </c>
      <c r="L52" s="263">
        <v>11</v>
      </c>
    </row>
    <row r="53" spans="2:12" ht="24" x14ac:dyDescent="0.3">
      <c r="B53" s="262">
        <v>49</v>
      </c>
      <c r="C53" s="60" t="s">
        <v>929</v>
      </c>
      <c r="D53" s="61" t="s">
        <v>2414</v>
      </c>
      <c r="E53" s="62" t="s">
        <v>925</v>
      </c>
      <c r="F53" s="62" t="s">
        <v>934</v>
      </c>
      <c r="G53" s="62" t="s">
        <v>927</v>
      </c>
      <c r="H53" s="61" t="s">
        <v>550</v>
      </c>
      <c r="I53" s="61">
        <v>5</v>
      </c>
      <c r="J53" s="61" t="s">
        <v>537</v>
      </c>
      <c r="K53" s="61" t="s">
        <v>2415</v>
      </c>
      <c r="L53" s="263">
        <v>9</v>
      </c>
    </row>
    <row r="54" spans="2:12" ht="24" x14ac:dyDescent="0.3">
      <c r="B54" s="262">
        <v>50</v>
      </c>
      <c r="C54" s="60" t="s">
        <v>936</v>
      </c>
      <c r="D54" s="61" t="s">
        <v>2416</v>
      </c>
      <c r="E54" s="62" t="s">
        <v>710</v>
      </c>
      <c r="F54" s="62" t="s">
        <v>690</v>
      </c>
      <c r="G54" s="62" t="s">
        <v>711</v>
      </c>
      <c r="H54" s="61" t="s">
        <v>550</v>
      </c>
      <c r="I54" s="61">
        <v>5</v>
      </c>
      <c r="J54" s="61" t="s">
        <v>524</v>
      </c>
      <c r="K54" s="61" t="s">
        <v>765</v>
      </c>
      <c r="L54" s="263">
        <v>9</v>
      </c>
    </row>
    <row r="55" spans="2:12" ht="24" x14ac:dyDescent="0.3">
      <c r="B55" s="262">
        <v>51</v>
      </c>
      <c r="C55" s="60" t="s">
        <v>939</v>
      </c>
      <c r="D55" s="61" t="s">
        <v>2417</v>
      </c>
      <c r="E55" s="62" t="s">
        <v>943</v>
      </c>
      <c r="F55" s="62" t="s">
        <v>944</v>
      </c>
      <c r="G55" s="62" t="s">
        <v>945</v>
      </c>
      <c r="H55" s="61" t="s">
        <v>504</v>
      </c>
      <c r="I55" s="61">
        <v>4.2</v>
      </c>
      <c r="J55" s="61" t="s">
        <v>1397</v>
      </c>
      <c r="K55" s="61" t="s">
        <v>704</v>
      </c>
      <c r="L55" s="263">
        <v>10</v>
      </c>
    </row>
    <row r="56" spans="2:12" ht="24" x14ac:dyDescent="0.3">
      <c r="B56" s="262">
        <v>52</v>
      </c>
      <c r="C56" s="60" t="s">
        <v>952</v>
      </c>
      <c r="D56" s="61" t="s">
        <v>2418</v>
      </c>
      <c r="E56" s="62" t="s">
        <v>955</v>
      </c>
      <c r="F56" s="62" t="s">
        <v>2419</v>
      </c>
      <c r="G56" s="62" t="s">
        <v>2420</v>
      </c>
      <c r="H56" s="61" t="s">
        <v>504</v>
      </c>
      <c r="I56" s="61">
        <v>4.2</v>
      </c>
      <c r="J56" s="61" t="s">
        <v>1681</v>
      </c>
      <c r="K56" s="61" t="s">
        <v>494</v>
      </c>
      <c r="L56" s="263" t="s">
        <v>958</v>
      </c>
    </row>
    <row r="57" spans="2:12" ht="24" x14ac:dyDescent="0.3">
      <c r="B57" s="262">
        <v>53</v>
      </c>
      <c r="C57" s="60" t="s">
        <v>959</v>
      </c>
      <c r="D57" s="61" t="s">
        <v>2421</v>
      </c>
      <c r="E57" s="62" t="s">
        <v>710</v>
      </c>
      <c r="F57" s="62" t="s">
        <v>690</v>
      </c>
      <c r="G57" s="62" t="s">
        <v>711</v>
      </c>
      <c r="H57" s="61" t="s">
        <v>550</v>
      </c>
      <c r="I57" s="61">
        <v>5</v>
      </c>
      <c r="J57" s="61" t="s">
        <v>1482</v>
      </c>
      <c r="K57" s="61" t="s">
        <v>731</v>
      </c>
      <c r="L57" s="263">
        <v>10</v>
      </c>
    </row>
    <row r="58" spans="2:12" ht="24" x14ac:dyDescent="0.3">
      <c r="B58" s="262">
        <v>54</v>
      </c>
      <c r="C58" s="60" t="s">
        <v>963</v>
      </c>
      <c r="D58" s="61" t="s">
        <v>2422</v>
      </c>
      <c r="E58" s="62" t="s">
        <v>967</v>
      </c>
      <c r="F58" s="62" t="s">
        <v>968</v>
      </c>
      <c r="G58" s="62" t="s">
        <v>2423</v>
      </c>
      <c r="H58" s="61" t="s">
        <v>712</v>
      </c>
      <c r="I58" s="61">
        <v>5.0999999999999996</v>
      </c>
      <c r="J58" s="61" t="s">
        <v>970</v>
      </c>
      <c r="K58" s="61" t="s">
        <v>790</v>
      </c>
      <c r="L58" s="263">
        <v>12</v>
      </c>
    </row>
    <row r="59" spans="2:12" ht="36" x14ac:dyDescent="0.3">
      <c r="B59" s="262">
        <v>55</v>
      </c>
      <c r="C59" s="60" t="s">
        <v>973</v>
      </c>
      <c r="D59" s="61" t="s">
        <v>2424</v>
      </c>
      <c r="E59" s="62" t="s">
        <v>1082</v>
      </c>
      <c r="F59" s="62" t="s">
        <v>977</v>
      </c>
      <c r="G59" s="62" t="s">
        <v>1083</v>
      </c>
      <c r="H59" s="61" t="s">
        <v>730</v>
      </c>
      <c r="I59" s="61">
        <v>5.2</v>
      </c>
      <c r="J59" s="61" t="s">
        <v>979</v>
      </c>
      <c r="K59" s="61" t="s">
        <v>738</v>
      </c>
      <c r="L59" s="263">
        <v>12</v>
      </c>
    </row>
    <row r="60" spans="2:12" ht="36" x14ac:dyDescent="0.3">
      <c r="B60" s="262">
        <v>56</v>
      </c>
      <c r="C60" s="60" t="s">
        <v>981</v>
      </c>
      <c r="D60" s="61" t="s">
        <v>1552</v>
      </c>
      <c r="E60" s="62" t="s">
        <v>1508</v>
      </c>
      <c r="F60" s="62" t="s">
        <v>2425</v>
      </c>
      <c r="G60" s="62" t="s">
        <v>2426</v>
      </c>
      <c r="H60" s="61" t="s">
        <v>730</v>
      </c>
      <c r="I60" s="61">
        <v>5</v>
      </c>
      <c r="J60" s="61" t="s">
        <v>988</v>
      </c>
      <c r="K60" s="61" t="s">
        <v>790</v>
      </c>
      <c r="L60" s="263">
        <v>12</v>
      </c>
    </row>
    <row r="61" spans="2:12" ht="36" x14ac:dyDescent="0.3">
      <c r="B61" s="262">
        <v>57</v>
      </c>
      <c r="C61" s="60" t="s">
        <v>2427</v>
      </c>
      <c r="D61" s="61" t="s">
        <v>2428</v>
      </c>
      <c r="E61" s="62" t="s">
        <v>992</v>
      </c>
      <c r="F61" s="62" t="s">
        <v>993</v>
      </c>
      <c r="G61" s="62" t="s">
        <v>994</v>
      </c>
      <c r="H61" s="61" t="s">
        <v>730</v>
      </c>
      <c r="I61" s="61">
        <v>5</v>
      </c>
      <c r="J61" s="61" t="s">
        <v>995</v>
      </c>
      <c r="K61" s="61" t="s">
        <v>790</v>
      </c>
      <c r="L61" s="263">
        <v>13</v>
      </c>
    </row>
    <row r="62" spans="2:12" ht="24" x14ac:dyDescent="0.3">
      <c r="B62" s="262">
        <v>58</v>
      </c>
      <c r="C62" s="60" t="s">
        <v>996</v>
      </c>
      <c r="D62" s="61" t="s">
        <v>2429</v>
      </c>
      <c r="E62" s="62" t="s">
        <v>999</v>
      </c>
      <c r="F62" s="62" t="s">
        <v>1000</v>
      </c>
      <c r="G62" s="62" t="s">
        <v>1001</v>
      </c>
      <c r="H62" s="61" t="s">
        <v>550</v>
      </c>
      <c r="I62" s="61">
        <v>5</v>
      </c>
      <c r="J62" s="61" t="s">
        <v>970</v>
      </c>
      <c r="K62" s="61" t="s">
        <v>2430</v>
      </c>
      <c r="L62" s="263">
        <v>12</v>
      </c>
    </row>
    <row r="63" spans="2:12" ht="36" x14ac:dyDescent="0.3">
      <c r="B63" s="262">
        <v>59</v>
      </c>
      <c r="C63" s="60" t="s">
        <v>1003</v>
      </c>
      <c r="D63" s="61" t="s">
        <v>1528</v>
      </c>
      <c r="E63" s="62" t="s">
        <v>1006</v>
      </c>
      <c r="F63" s="62" t="s">
        <v>1007</v>
      </c>
      <c r="G63" s="62" t="s">
        <v>1008</v>
      </c>
      <c r="H63" s="61" t="s">
        <v>839</v>
      </c>
      <c r="I63" s="61">
        <v>5</v>
      </c>
      <c r="J63" s="61" t="s">
        <v>1009</v>
      </c>
      <c r="K63" s="61" t="s">
        <v>731</v>
      </c>
      <c r="L63" s="263">
        <v>12</v>
      </c>
    </row>
    <row r="64" spans="2:12" ht="36" x14ac:dyDescent="0.3">
      <c r="B64" s="262">
        <v>60</v>
      </c>
      <c r="C64" s="60" t="s">
        <v>2431</v>
      </c>
      <c r="D64" s="61" t="s">
        <v>2432</v>
      </c>
      <c r="E64" s="62" t="s">
        <v>1015</v>
      </c>
      <c r="F64" s="62" t="s">
        <v>1016</v>
      </c>
      <c r="G64" s="62" t="s">
        <v>1017</v>
      </c>
      <c r="H64" s="61" t="s">
        <v>712</v>
      </c>
      <c r="I64" s="61">
        <v>5.2</v>
      </c>
      <c r="J64" s="61" t="s">
        <v>979</v>
      </c>
      <c r="K64" s="61" t="s">
        <v>790</v>
      </c>
      <c r="L64" s="263">
        <v>16</v>
      </c>
    </row>
    <row r="65" spans="2:12" ht="36" x14ac:dyDescent="0.3">
      <c r="B65" s="262">
        <v>61</v>
      </c>
      <c r="C65" s="60" t="s">
        <v>1020</v>
      </c>
      <c r="D65" s="61" t="s">
        <v>2563</v>
      </c>
      <c r="E65" s="62" t="s">
        <v>1024</v>
      </c>
      <c r="F65" s="62" t="s">
        <v>1025</v>
      </c>
      <c r="G65" s="62" t="s">
        <v>1026</v>
      </c>
      <c r="H65" s="61" t="s">
        <v>730</v>
      </c>
      <c r="I65" s="61">
        <v>5.2</v>
      </c>
      <c r="J65" s="61" t="s">
        <v>1027</v>
      </c>
      <c r="K65" s="61" t="s">
        <v>790</v>
      </c>
      <c r="L65" s="263">
        <v>12</v>
      </c>
    </row>
    <row r="66" spans="2:12" ht="36" x14ac:dyDescent="0.3">
      <c r="B66" s="262">
        <v>62</v>
      </c>
      <c r="C66" s="60" t="s">
        <v>1028</v>
      </c>
      <c r="D66" s="61" t="s">
        <v>2433</v>
      </c>
      <c r="E66" s="62" t="s">
        <v>816</v>
      </c>
      <c r="F66" s="62" t="s">
        <v>817</v>
      </c>
      <c r="G66" s="62" t="s">
        <v>818</v>
      </c>
      <c r="H66" s="61" t="s">
        <v>839</v>
      </c>
      <c r="I66" s="61">
        <v>5</v>
      </c>
      <c r="J66" s="61" t="s">
        <v>1031</v>
      </c>
      <c r="K66" s="61" t="s">
        <v>821</v>
      </c>
      <c r="L66" s="263">
        <v>13</v>
      </c>
    </row>
    <row r="67" spans="2:12" ht="36" x14ac:dyDescent="0.3">
      <c r="B67" s="262">
        <v>63</v>
      </c>
      <c r="C67" s="60" t="s">
        <v>1033</v>
      </c>
      <c r="D67" s="61" t="s">
        <v>2434</v>
      </c>
      <c r="E67" s="62" t="s">
        <v>816</v>
      </c>
      <c r="F67" s="62" t="s">
        <v>817</v>
      </c>
      <c r="G67" s="62" t="s">
        <v>818</v>
      </c>
      <c r="H67" s="61" t="s">
        <v>839</v>
      </c>
      <c r="I67" s="61">
        <v>5</v>
      </c>
      <c r="J67" s="61" t="s">
        <v>988</v>
      </c>
      <c r="K67" s="61" t="s">
        <v>821</v>
      </c>
      <c r="L67" s="263">
        <v>12</v>
      </c>
    </row>
    <row r="68" spans="2:12" ht="36" x14ac:dyDescent="0.3">
      <c r="B68" s="262">
        <v>64</v>
      </c>
      <c r="C68" s="60" t="s">
        <v>2435</v>
      </c>
      <c r="D68" s="61" t="s">
        <v>1520</v>
      </c>
      <c r="E68" s="62" t="s">
        <v>816</v>
      </c>
      <c r="F68" s="62" t="s">
        <v>817</v>
      </c>
      <c r="G68" s="62" t="s">
        <v>818</v>
      </c>
      <c r="H68" s="61" t="s">
        <v>730</v>
      </c>
      <c r="I68" s="61">
        <v>5</v>
      </c>
      <c r="J68" s="61" t="s">
        <v>995</v>
      </c>
      <c r="K68" s="61" t="s">
        <v>821</v>
      </c>
      <c r="L68" s="263">
        <v>12</v>
      </c>
    </row>
    <row r="69" spans="2:12" ht="36" x14ac:dyDescent="0.3">
      <c r="B69" s="262">
        <v>65</v>
      </c>
      <c r="C69" s="60" t="s">
        <v>1040</v>
      </c>
      <c r="D69" s="61" t="s">
        <v>2436</v>
      </c>
      <c r="E69" s="62" t="s">
        <v>1508</v>
      </c>
      <c r="F69" s="62" t="s">
        <v>2425</v>
      </c>
      <c r="G69" s="62" t="s">
        <v>2426</v>
      </c>
      <c r="H69" s="61" t="s">
        <v>712</v>
      </c>
      <c r="I69" s="61">
        <v>5</v>
      </c>
      <c r="J69" s="61" t="s">
        <v>1044</v>
      </c>
      <c r="K69" s="61" t="s">
        <v>1656</v>
      </c>
      <c r="L69" s="263">
        <v>12</v>
      </c>
    </row>
    <row r="70" spans="2:12" ht="24" x14ac:dyDescent="0.3">
      <c r="B70" s="262">
        <v>66</v>
      </c>
      <c r="C70" s="60" t="s">
        <v>1046</v>
      </c>
      <c r="D70" s="61" t="s">
        <v>2437</v>
      </c>
      <c r="E70" s="62" t="s">
        <v>1049</v>
      </c>
      <c r="F70" s="62" t="s">
        <v>1050</v>
      </c>
      <c r="G70" s="62" t="s">
        <v>2438</v>
      </c>
      <c r="H70" s="61" t="s">
        <v>712</v>
      </c>
      <c r="I70" s="61">
        <v>5.2</v>
      </c>
      <c r="J70" s="61" t="s">
        <v>988</v>
      </c>
      <c r="K70" s="61" t="s">
        <v>1605</v>
      </c>
      <c r="L70" s="263">
        <v>12</v>
      </c>
    </row>
    <row r="71" spans="2:12" ht="24" x14ac:dyDescent="0.3">
      <c r="B71" s="262">
        <v>67</v>
      </c>
      <c r="C71" s="60" t="s">
        <v>1053</v>
      </c>
      <c r="D71" s="61" t="s">
        <v>2564</v>
      </c>
      <c r="E71" s="62" t="s">
        <v>881</v>
      </c>
      <c r="F71" s="62" t="s">
        <v>2565</v>
      </c>
      <c r="G71" s="62" t="s">
        <v>2566</v>
      </c>
      <c r="H71" s="61" t="s">
        <v>550</v>
      </c>
      <c r="I71" s="61">
        <v>5</v>
      </c>
      <c r="J71" s="61" t="s">
        <v>1059</v>
      </c>
      <c r="K71" s="61" t="s">
        <v>2430</v>
      </c>
      <c r="L71" s="263">
        <v>12</v>
      </c>
    </row>
    <row r="72" spans="2:12" ht="24" x14ac:dyDescent="0.3">
      <c r="B72" s="262">
        <v>68</v>
      </c>
      <c r="C72" s="60" t="s">
        <v>1060</v>
      </c>
      <c r="D72" s="61" t="s">
        <v>2439</v>
      </c>
      <c r="E72" s="62" t="s">
        <v>1064</v>
      </c>
      <c r="F72" s="62" t="s">
        <v>1065</v>
      </c>
      <c r="G72" s="62" t="s">
        <v>1066</v>
      </c>
      <c r="H72" s="61" t="s">
        <v>550</v>
      </c>
      <c r="I72" s="61">
        <v>5</v>
      </c>
      <c r="J72" s="61" t="s">
        <v>537</v>
      </c>
      <c r="K72" s="61" t="s">
        <v>2430</v>
      </c>
      <c r="L72" s="263">
        <v>11</v>
      </c>
    </row>
    <row r="73" spans="2:12" ht="36" x14ac:dyDescent="0.3">
      <c r="B73" s="262">
        <v>69</v>
      </c>
      <c r="C73" s="60" t="s">
        <v>1068</v>
      </c>
      <c r="D73" s="61" t="s">
        <v>2567</v>
      </c>
      <c r="E73" s="62" t="s">
        <v>2568</v>
      </c>
      <c r="F73" s="62" t="s">
        <v>2569</v>
      </c>
      <c r="G73" s="62" t="s">
        <v>2570</v>
      </c>
      <c r="H73" s="61" t="s">
        <v>730</v>
      </c>
      <c r="I73" s="61">
        <v>5.2</v>
      </c>
      <c r="J73" s="61" t="s">
        <v>1490</v>
      </c>
      <c r="K73" s="61" t="s">
        <v>790</v>
      </c>
      <c r="L73" s="263">
        <v>13</v>
      </c>
    </row>
    <row r="74" spans="2:12" ht="36" x14ac:dyDescent="0.3">
      <c r="B74" s="262">
        <v>70</v>
      </c>
      <c r="C74" s="60" t="s">
        <v>1075</v>
      </c>
      <c r="D74" s="61" t="s">
        <v>2093</v>
      </c>
      <c r="E74" s="62" t="s">
        <v>992</v>
      </c>
      <c r="F74" s="62" t="s">
        <v>1078</v>
      </c>
      <c r="G74" s="62" t="s">
        <v>994</v>
      </c>
      <c r="H74" s="61" t="s">
        <v>730</v>
      </c>
      <c r="I74" s="61">
        <v>5</v>
      </c>
      <c r="J74" s="61" t="s">
        <v>988</v>
      </c>
      <c r="K74" s="61" t="s">
        <v>790</v>
      </c>
      <c r="L74" s="263">
        <v>13</v>
      </c>
    </row>
    <row r="75" spans="2:12" ht="36" x14ac:dyDescent="0.3">
      <c r="B75" s="262">
        <v>71</v>
      </c>
      <c r="C75" s="60" t="s">
        <v>1079</v>
      </c>
      <c r="D75" s="61" t="s">
        <v>2440</v>
      </c>
      <c r="E75" s="62" t="s">
        <v>1082</v>
      </c>
      <c r="F75" s="62" t="s">
        <v>977</v>
      </c>
      <c r="G75" s="62" t="s">
        <v>1083</v>
      </c>
      <c r="H75" s="61" t="s">
        <v>730</v>
      </c>
      <c r="I75" s="61">
        <v>5.2</v>
      </c>
      <c r="J75" s="61" t="s">
        <v>1653</v>
      </c>
      <c r="K75" s="61" t="s">
        <v>2441</v>
      </c>
      <c r="L75" s="263">
        <v>13</v>
      </c>
    </row>
    <row r="76" spans="2:12" ht="24" x14ac:dyDescent="0.3">
      <c r="B76" s="262">
        <v>72</v>
      </c>
      <c r="C76" s="60" t="s">
        <v>2442</v>
      </c>
      <c r="D76" s="61" t="s">
        <v>2571</v>
      </c>
      <c r="E76" s="62" t="s">
        <v>1090</v>
      </c>
      <c r="F76" s="62" t="s">
        <v>1091</v>
      </c>
      <c r="G76" s="62" t="s">
        <v>2443</v>
      </c>
      <c r="H76" s="61" t="s">
        <v>839</v>
      </c>
      <c r="I76" s="61">
        <v>5.4</v>
      </c>
      <c r="J76" s="61" t="s">
        <v>1620</v>
      </c>
      <c r="K76" s="61" t="s">
        <v>2444</v>
      </c>
      <c r="L76" s="263">
        <v>14</v>
      </c>
    </row>
    <row r="77" spans="2:12" ht="24" x14ac:dyDescent="0.3">
      <c r="B77" s="262">
        <v>73</v>
      </c>
      <c r="C77" s="60" t="s">
        <v>2445</v>
      </c>
      <c r="D77" s="61" t="s">
        <v>2572</v>
      </c>
      <c r="E77" s="62" t="s">
        <v>1098</v>
      </c>
      <c r="F77" s="62" t="s">
        <v>1099</v>
      </c>
      <c r="G77" s="62" t="s">
        <v>1100</v>
      </c>
      <c r="H77" s="61" t="s">
        <v>730</v>
      </c>
      <c r="I77" s="61">
        <v>5.2</v>
      </c>
      <c r="J77" s="61" t="s">
        <v>1620</v>
      </c>
      <c r="K77" s="61" t="s">
        <v>2444</v>
      </c>
      <c r="L77" s="263">
        <v>13</v>
      </c>
    </row>
    <row r="78" spans="2:12" ht="24" x14ac:dyDescent="0.3">
      <c r="B78" s="262">
        <v>74</v>
      </c>
      <c r="C78" s="60" t="s">
        <v>2446</v>
      </c>
      <c r="D78" s="61" t="s">
        <v>2447</v>
      </c>
      <c r="E78" s="62" t="s">
        <v>1104</v>
      </c>
      <c r="F78" s="62" t="s">
        <v>1105</v>
      </c>
      <c r="G78" s="62" t="s">
        <v>1106</v>
      </c>
      <c r="H78" s="61" t="s">
        <v>730</v>
      </c>
      <c r="I78" s="61">
        <v>5.3</v>
      </c>
      <c r="J78" s="61" t="s">
        <v>1059</v>
      </c>
      <c r="K78" s="61" t="s">
        <v>738</v>
      </c>
      <c r="L78" s="263">
        <v>14</v>
      </c>
    </row>
    <row r="79" spans="2:12" ht="36" x14ac:dyDescent="0.3">
      <c r="B79" s="262">
        <v>75</v>
      </c>
      <c r="C79" s="60" t="s">
        <v>2448</v>
      </c>
      <c r="D79" s="61" t="s">
        <v>2449</v>
      </c>
      <c r="E79" s="62" t="s">
        <v>1111</v>
      </c>
      <c r="F79" s="62" t="s">
        <v>1112</v>
      </c>
      <c r="G79" s="62" t="s">
        <v>1113</v>
      </c>
      <c r="H79" s="61" t="s">
        <v>730</v>
      </c>
      <c r="I79" s="61">
        <v>5.2</v>
      </c>
      <c r="J79" s="61" t="s">
        <v>979</v>
      </c>
      <c r="K79" s="61" t="s">
        <v>790</v>
      </c>
      <c r="L79" s="263">
        <v>16</v>
      </c>
    </row>
    <row r="80" spans="2:12" ht="24" x14ac:dyDescent="0.3">
      <c r="B80" s="262">
        <v>76</v>
      </c>
      <c r="C80" s="60" t="s">
        <v>2450</v>
      </c>
      <c r="D80" s="61" t="s">
        <v>2447</v>
      </c>
      <c r="E80" s="62" t="s">
        <v>1104</v>
      </c>
      <c r="F80" s="62" t="s">
        <v>1105</v>
      </c>
      <c r="G80" s="62" t="s">
        <v>1106</v>
      </c>
      <c r="H80" s="61" t="s">
        <v>730</v>
      </c>
      <c r="I80" s="61">
        <v>5.3</v>
      </c>
      <c r="J80" s="61" t="s">
        <v>1059</v>
      </c>
      <c r="K80" s="61" t="s">
        <v>738</v>
      </c>
      <c r="L80" s="263">
        <v>14</v>
      </c>
    </row>
    <row r="81" spans="2:12" ht="24" x14ac:dyDescent="0.3">
      <c r="B81" s="262">
        <v>77</v>
      </c>
      <c r="C81" s="60" t="s">
        <v>2451</v>
      </c>
      <c r="D81" s="61" t="s">
        <v>2447</v>
      </c>
      <c r="E81" s="62" t="s">
        <v>1104</v>
      </c>
      <c r="F81" s="62" t="s">
        <v>1105</v>
      </c>
      <c r="G81" s="62" t="s">
        <v>1106</v>
      </c>
      <c r="H81" s="61" t="s">
        <v>730</v>
      </c>
      <c r="I81" s="61">
        <v>5.3</v>
      </c>
      <c r="J81" s="61" t="s">
        <v>1059</v>
      </c>
      <c r="K81" s="61" t="s">
        <v>738</v>
      </c>
      <c r="L81" s="263">
        <v>14</v>
      </c>
    </row>
    <row r="82" spans="2:12" ht="24" x14ac:dyDescent="0.3">
      <c r="B82" s="262">
        <v>78</v>
      </c>
      <c r="C82" s="60" t="s">
        <v>2452</v>
      </c>
      <c r="D82" s="61" t="s">
        <v>2447</v>
      </c>
      <c r="E82" s="62" t="s">
        <v>1104</v>
      </c>
      <c r="F82" s="62" t="s">
        <v>1105</v>
      </c>
      <c r="G82" s="62" t="s">
        <v>1106</v>
      </c>
      <c r="H82" s="61" t="s">
        <v>730</v>
      </c>
      <c r="I82" s="61">
        <v>5.3</v>
      </c>
      <c r="J82" s="61" t="s">
        <v>1059</v>
      </c>
      <c r="K82" s="61" t="s">
        <v>738</v>
      </c>
      <c r="L82" s="263">
        <v>14</v>
      </c>
    </row>
    <row r="83" spans="2:12" ht="24" x14ac:dyDescent="0.3">
      <c r="B83" s="262">
        <v>79</v>
      </c>
      <c r="C83" s="60" t="s">
        <v>2453</v>
      </c>
      <c r="D83" s="61" t="s">
        <v>2454</v>
      </c>
      <c r="E83" s="62" t="s">
        <v>1123</v>
      </c>
      <c r="F83" s="62" t="s">
        <v>1124</v>
      </c>
      <c r="G83" s="62" t="s">
        <v>1125</v>
      </c>
      <c r="H83" s="61" t="s">
        <v>730</v>
      </c>
      <c r="I83" s="61">
        <v>5.3</v>
      </c>
      <c r="J83" s="61" t="s">
        <v>747</v>
      </c>
      <c r="K83" s="61" t="s">
        <v>738</v>
      </c>
      <c r="L83" s="263">
        <v>13</v>
      </c>
    </row>
    <row r="84" spans="2:12" ht="36" x14ac:dyDescent="0.3">
      <c r="B84" s="262">
        <v>80</v>
      </c>
      <c r="C84" s="60" t="s">
        <v>1126</v>
      </c>
      <c r="D84" s="61" t="s">
        <v>2028</v>
      </c>
      <c r="E84" s="62" t="s">
        <v>1082</v>
      </c>
      <c r="F84" s="62" t="s">
        <v>977</v>
      </c>
      <c r="G84" s="62" t="s">
        <v>1083</v>
      </c>
      <c r="H84" s="61" t="s">
        <v>730</v>
      </c>
      <c r="I84" s="61">
        <v>5.2</v>
      </c>
      <c r="J84" s="61" t="s">
        <v>1059</v>
      </c>
      <c r="K84" s="61" t="s">
        <v>738</v>
      </c>
      <c r="L84" s="263">
        <v>14</v>
      </c>
    </row>
    <row r="85" spans="2:12" ht="48" x14ac:dyDescent="0.3">
      <c r="B85" s="262">
        <v>81</v>
      </c>
      <c r="C85" s="60" t="s">
        <v>1129</v>
      </c>
      <c r="D85" s="61" t="s">
        <v>1590</v>
      </c>
      <c r="E85" s="62" t="s">
        <v>1132</v>
      </c>
      <c r="F85" s="62" t="s">
        <v>1133</v>
      </c>
      <c r="G85" s="62" t="s">
        <v>1134</v>
      </c>
      <c r="H85" s="61" t="s">
        <v>730</v>
      </c>
      <c r="I85" s="61">
        <v>5.3</v>
      </c>
      <c r="J85" s="62" t="s">
        <v>979</v>
      </c>
      <c r="K85" s="62" t="s">
        <v>738</v>
      </c>
      <c r="L85" s="263">
        <v>15</v>
      </c>
    </row>
    <row r="86" spans="2:12" ht="48" x14ac:dyDescent="0.3">
      <c r="B86" s="262">
        <v>82</v>
      </c>
      <c r="C86" s="60" t="s">
        <v>1135</v>
      </c>
      <c r="D86" s="61" t="s">
        <v>2059</v>
      </c>
      <c r="E86" s="62" t="s">
        <v>1138</v>
      </c>
      <c r="F86" s="62" t="s">
        <v>1139</v>
      </c>
      <c r="G86" s="62" t="s">
        <v>1140</v>
      </c>
      <c r="H86" s="61" t="s">
        <v>730</v>
      </c>
      <c r="I86" s="61">
        <v>5.3</v>
      </c>
      <c r="J86" s="62" t="s">
        <v>995</v>
      </c>
      <c r="K86" s="62" t="s">
        <v>738</v>
      </c>
      <c r="L86" s="263">
        <v>14</v>
      </c>
    </row>
    <row r="87" spans="2:12" ht="48" x14ac:dyDescent="0.3">
      <c r="B87" s="262">
        <v>83</v>
      </c>
      <c r="C87" s="60" t="s">
        <v>1141</v>
      </c>
      <c r="D87" s="61" t="s">
        <v>2573</v>
      </c>
      <c r="E87" s="62" t="s">
        <v>1132</v>
      </c>
      <c r="F87" s="62" t="s">
        <v>1133</v>
      </c>
      <c r="G87" s="62" t="s">
        <v>1134</v>
      </c>
      <c r="H87" s="61" t="s">
        <v>730</v>
      </c>
      <c r="I87" s="61">
        <v>5.3</v>
      </c>
      <c r="J87" s="62" t="s">
        <v>1608</v>
      </c>
      <c r="K87" s="62" t="s">
        <v>1633</v>
      </c>
      <c r="L87" s="263">
        <v>14</v>
      </c>
    </row>
    <row r="88" spans="2:12" ht="48" x14ac:dyDescent="0.3">
      <c r="B88" s="262">
        <v>84</v>
      </c>
      <c r="C88" s="60" t="s">
        <v>1146</v>
      </c>
      <c r="D88" s="61" t="s">
        <v>2574</v>
      </c>
      <c r="E88" s="62" t="s">
        <v>1132</v>
      </c>
      <c r="F88" s="62" t="s">
        <v>1133</v>
      </c>
      <c r="G88" s="62" t="s">
        <v>1134</v>
      </c>
      <c r="H88" s="61" t="s">
        <v>839</v>
      </c>
      <c r="I88" s="61">
        <v>5.3</v>
      </c>
      <c r="J88" s="62" t="s">
        <v>1509</v>
      </c>
      <c r="K88" s="62" t="s">
        <v>2046</v>
      </c>
      <c r="L88" s="263">
        <v>14</v>
      </c>
    </row>
    <row r="89" spans="2:12" ht="12" x14ac:dyDescent="0.3">
      <c r="B89" s="262">
        <v>85</v>
      </c>
      <c r="C89" s="60" t="s">
        <v>1470</v>
      </c>
      <c r="D89" s="61" t="s">
        <v>1472</v>
      </c>
      <c r="E89" s="62" t="s">
        <v>634</v>
      </c>
      <c r="F89" s="62" t="s">
        <v>2575</v>
      </c>
      <c r="G89" s="62" t="s">
        <v>2575</v>
      </c>
      <c r="H89" s="61" t="s">
        <v>2575</v>
      </c>
      <c r="I89" s="61" t="s">
        <v>2575</v>
      </c>
      <c r="J89" s="61" t="s">
        <v>995</v>
      </c>
      <c r="K89" s="61" t="s">
        <v>638</v>
      </c>
      <c r="L89" s="263" t="s">
        <v>1473</v>
      </c>
    </row>
    <row r="90" spans="2:12" ht="12" x14ac:dyDescent="0.3">
      <c r="B90" s="262">
        <v>86</v>
      </c>
      <c r="C90" s="60" t="s">
        <v>1470</v>
      </c>
      <c r="D90" s="61" t="s">
        <v>1472</v>
      </c>
      <c r="E90" s="62" t="s">
        <v>634</v>
      </c>
      <c r="F90" s="62" t="s">
        <v>2575</v>
      </c>
      <c r="G90" s="62" t="s">
        <v>2575</v>
      </c>
      <c r="H90" s="61" t="s">
        <v>2575</v>
      </c>
      <c r="I90" s="61" t="s">
        <v>2575</v>
      </c>
      <c r="J90" s="61" t="s">
        <v>995</v>
      </c>
      <c r="K90" s="61" t="s">
        <v>638</v>
      </c>
      <c r="L90" s="263" t="s">
        <v>1473</v>
      </c>
    </row>
    <row r="91" spans="2:12" ht="24" x14ac:dyDescent="0.3">
      <c r="B91" s="262">
        <v>87</v>
      </c>
      <c r="C91" s="60" t="s">
        <v>1475</v>
      </c>
      <c r="D91" s="61" t="s">
        <v>1476</v>
      </c>
      <c r="E91" s="62" t="s">
        <v>612</v>
      </c>
      <c r="F91" s="62" t="s">
        <v>2575</v>
      </c>
      <c r="G91" s="62" t="s">
        <v>2575</v>
      </c>
      <c r="H91" s="61" t="s">
        <v>2575</v>
      </c>
      <c r="I91" s="61" t="s">
        <v>2575</v>
      </c>
      <c r="J91" s="61" t="s">
        <v>524</v>
      </c>
      <c r="K91" s="61" t="s">
        <v>643</v>
      </c>
      <c r="L91" s="263" t="s">
        <v>1477</v>
      </c>
    </row>
    <row r="92" spans="2:12" ht="24" x14ac:dyDescent="0.3">
      <c r="B92" s="262">
        <v>88</v>
      </c>
      <c r="C92" s="60" t="s">
        <v>1478</v>
      </c>
      <c r="D92" s="61" t="s">
        <v>1480</v>
      </c>
      <c r="E92" s="62" t="s">
        <v>1481</v>
      </c>
      <c r="F92" s="62" t="s">
        <v>2575</v>
      </c>
      <c r="G92" s="62" t="s">
        <v>2575</v>
      </c>
      <c r="H92" s="61" t="s">
        <v>2575</v>
      </c>
      <c r="I92" s="61" t="s">
        <v>2575</v>
      </c>
      <c r="J92" s="61" t="s">
        <v>1482</v>
      </c>
      <c r="K92" s="61" t="s">
        <v>643</v>
      </c>
      <c r="L92" s="263" t="s">
        <v>1473</v>
      </c>
    </row>
    <row r="93" spans="2:12" ht="24" x14ac:dyDescent="0.3">
      <c r="B93" s="262">
        <v>89</v>
      </c>
      <c r="C93" s="60" t="s">
        <v>1483</v>
      </c>
      <c r="D93" s="61" t="s">
        <v>1484</v>
      </c>
      <c r="E93" s="62" t="s">
        <v>1485</v>
      </c>
      <c r="F93" s="62" t="s">
        <v>2575</v>
      </c>
      <c r="G93" s="62" t="s">
        <v>2575</v>
      </c>
      <c r="H93" s="61" t="s">
        <v>2575</v>
      </c>
      <c r="I93" s="61" t="s">
        <v>2575</v>
      </c>
      <c r="J93" s="61" t="s">
        <v>537</v>
      </c>
      <c r="K93" s="61" t="s">
        <v>765</v>
      </c>
      <c r="L93" s="263" t="s">
        <v>629</v>
      </c>
    </row>
    <row r="94" spans="2:12" ht="12" x14ac:dyDescent="0.3">
      <c r="B94" s="262">
        <v>90</v>
      </c>
      <c r="C94" s="60" t="s">
        <v>1486</v>
      </c>
      <c r="D94" s="61" t="s">
        <v>1487</v>
      </c>
      <c r="E94" s="62" t="s">
        <v>634</v>
      </c>
      <c r="F94" s="62" t="s">
        <v>2575</v>
      </c>
      <c r="G94" s="62" t="s">
        <v>2575</v>
      </c>
      <c r="H94" s="61" t="s">
        <v>2575</v>
      </c>
      <c r="I94" s="61" t="s">
        <v>2575</v>
      </c>
      <c r="J94" s="61" t="s">
        <v>1397</v>
      </c>
      <c r="K94" s="61" t="s">
        <v>638</v>
      </c>
      <c r="L94" s="263" t="s">
        <v>1473</v>
      </c>
    </row>
    <row r="95" spans="2:12" ht="12" x14ac:dyDescent="0.3">
      <c r="B95" s="262">
        <v>91</v>
      </c>
      <c r="C95" s="60" t="s">
        <v>1488</v>
      </c>
      <c r="D95" s="61" t="s">
        <v>1489</v>
      </c>
      <c r="E95" s="62" t="s">
        <v>634</v>
      </c>
      <c r="F95" s="62" t="s">
        <v>2575</v>
      </c>
      <c r="G95" s="62" t="s">
        <v>2575</v>
      </c>
      <c r="H95" s="61" t="s">
        <v>2575</v>
      </c>
      <c r="I95" s="61" t="s">
        <v>2575</v>
      </c>
      <c r="J95" s="61" t="s">
        <v>1490</v>
      </c>
      <c r="K95" s="61" t="s">
        <v>638</v>
      </c>
      <c r="L95" s="263" t="s">
        <v>591</v>
      </c>
    </row>
    <row r="96" spans="2:12" ht="12" x14ac:dyDescent="0.3">
      <c r="B96" s="262">
        <v>92</v>
      </c>
      <c r="C96" s="60" t="s">
        <v>1491</v>
      </c>
      <c r="D96" s="61" t="s">
        <v>1492</v>
      </c>
      <c r="E96" s="62" t="s">
        <v>1493</v>
      </c>
      <c r="F96" s="62" t="s">
        <v>2575</v>
      </c>
      <c r="G96" s="62" t="s">
        <v>2575</v>
      </c>
      <c r="H96" s="61" t="s">
        <v>2575</v>
      </c>
      <c r="I96" s="61" t="s">
        <v>2575</v>
      </c>
      <c r="J96" s="61" t="s">
        <v>537</v>
      </c>
      <c r="K96" s="61" t="s">
        <v>494</v>
      </c>
      <c r="L96" s="263" t="s">
        <v>1473</v>
      </c>
    </row>
    <row r="97" spans="2:12" ht="24" x14ac:dyDescent="0.3">
      <c r="B97" s="262">
        <v>93</v>
      </c>
      <c r="C97" s="60" t="s">
        <v>1494</v>
      </c>
      <c r="D97" s="61" t="s">
        <v>1480</v>
      </c>
      <c r="E97" s="62" t="s">
        <v>1481</v>
      </c>
      <c r="F97" s="62" t="s">
        <v>2575</v>
      </c>
      <c r="G97" s="62" t="s">
        <v>2575</v>
      </c>
      <c r="H97" s="61" t="s">
        <v>2575</v>
      </c>
      <c r="I97" s="61" t="s">
        <v>2575</v>
      </c>
      <c r="J97" s="61" t="s">
        <v>1482</v>
      </c>
      <c r="K97" s="61" t="s">
        <v>643</v>
      </c>
      <c r="L97" s="263" t="s">
        <v>1473</v>
      </c>
    </row>
    <row r="98" spans="2:12" ht="12" x14ac:dyDescent="0.3">
      <c r="B98" s="262">
        <v>94</v>
      </c>
      <c r="C98" s="60" t="s">
        <v>1495</v>
      </c>
      <c r="D98" s="61" t="s">
        <v>1496</v>
      </c>
      <c r="E98" s="62" t="s">
        <v>1497</v>
      </c>
      <c r="F98" s="62" t="s">
        <v>2575</v>
      </c>
      <c r="G98" s="62" t="s">
        <v>2575</v>
      </c>
      <c r="H98" s="61" t="s">
        <v>2575</v>
      </c>
      <c r="I98" s="61" t="s">
        <v>2575</v>
      </c>
      <c r="J98" s="61" t="s">
        <v>524</v>
      </c>
      <c r="K98" s="61" t="s">
        <v>494</v>
      </c>
      <c r="L98" s="263" t="s">
        <v>591</v>
      </c>
    </row>
    <row r="99" spans="2:12" ht="12" x14ac:dyDescent="0.3">
      <c r="B99" s="262">
        <v>95</v>
      </c>
      <c r="C99" s="60" t="s">
        <v>1498</v>
      </c>
      <c r="D99" s="61" t="s">
        <v>1499</v>
      </c>
      <c r="E99" s="62" t="s">
        <v>673</v>
      </c>
      <c r="F99" s="62" t="s">
        <v>2575</v>
      </c>
      <c r="G99" s="62" t="s">
        <v>2575</v>
      </c>
      <c r="H99" s="61" t="s">
        <v>2575</v>
      </c>
      <c r="I99" s="61" t="s">
        <v>2575</v>
      </c>
      <c r="J99" s="61" t="s">
        <v>1397</v>
      </c>
      <c r="K99" s="61" t="s">
        <v>638</v>
      </c>
      <c r="L99" s="263" t="s">
        <v>591</v>
      </c>
    </row>
    <row r="100" spans="2:12" ht="12" x14ac:dyDescent="0.3">
      <c r="B100" s="262">
        <v>96</v>
      </c>
      <c r="C100" s="60" t="s">
        <v>1500</v>
      </c>
      <c r="D100" s="61" t="s">
        <v>1472</v>
      </c>
      <c r="E100" s="62" t="s">
        <v>634</v>
      </c>
      <c r="F100" s="62" t="s">
        <v>2575</v>
      </c>
      <c r="G100" s="62" t="s">
        <v>2575</v>
      </c>
      <c r="H100" s="61" t="s">
        <v>2575</v>
      </c>
      <c r="I100" s="61" t="s">
        <v>2575</v>
      </c>
      <c r="J100" s="61" t="s">
        <v>995</v>
      </c>
      <c r="K100" s="61" t="s">
        <v>638</v>
      </c>
      <c r="L100" s="263" t="s">
        <v>1477</v>
      </c>
    </row>
    <row r="101" spans="2:12" ht="12" x14ac:dyDescent="0.3">
      <c r="B101" s="262">
        <v>97</v>
      </c>
      <c r="C101" s="60" t="s">
        <v>1501</v>
      </c>
      <c r="D101" s="61" t="s">
        <v>1489</v>
      </c>
      <c r="E101" s="62" t="s">
        <v>634</v>
      </c>
      <c r="F101" s="62" t="s">
        <v>2575</v>
      </c>
      <c r="G101" s="62" t="s">
        <v>2575</v>
      </c>
      <c r="H101" s="61" t="s">
        <v>2575</v>
      </c>
      <c r="I101" s="61" t="s">
        <v>2575</v>
      </c>
      <c r="J101" s="62" t="s">
        <v>1490</v>
      </c>
      <c r="K101" s="62" t="s">
        <v>638</v>
      </c>
      <c r="L101" s="263" t="s">
        <v>568</v>
      </c>
    </row>
    <row r="102" spans="2:12" ht="12" x14ac:dyDescent="0.3">
      <c r="B102" s="262">
        <v>98</v>
      </c>
      <c r="C102" s="60" t="s">
        <v>1502</v>
      </c>
      <c r="D102" s="61" t="s">
        <v>1487</v>
      </c>
      <c r="E102" s="62" t="s">
        <v>634</v>
      </c>
      <c r="F102" s="62" t="s">
        <v>2575</v>
      </c>
      <c r="G102" s="62" t="s">
        <v>2575</v>
      </c>
      <c r="H102" s="61" t="s">
        <v>2575</v>
      </c>
      <c r="I102" s="61" t="s">
        <v>2575</v>
      </c>
      <c r="J102" s="61" t="s">
        <v>1397</v>
      </c>
      <c r="K102" s="61" t="s">
        <v>638</v>
      </c>
      <c r="L102" s="263" t="s">
        <v>1473</v>
      </c>
    </row>
    <row r="103" spans="2:12" ht="24" x14ac:dyDescent="0.3">
      <c r="B103" s="262">
        <v>99</v>
      </c>
      <c r="C103" s="60" t="s">
        <v>1503</v>
      </c>
      <c r="D103" s="61" t="s">
        <v>1504</v>
      </c>
      <c r="E103" s="62" t="s">
        <v>786</v>
      </c>
      <c r="F103" s="62" t="s">
        <v>2575</v>
      </c>
      <c r="G103" s="62" t="s">
        <v>2575</v>
      </c>
      <c r="H103" s="61" t="s">
        <v>2575</v>
      </c>
      <c r="I103" s="61" t="s">
        <v>2575</v>
      </c>
      <c r="J103" s="61" t="s">
        <v>747</v>
      </c>
      <c r="K103" s="61" t="s">
        <v>694</v>
      </c>
      <c r="L103" s="263" t="s">
        <v>1505</v>
      </c>
    </row>
    <row r="104" spans="2:12" ht="24" x14ac:dyDescent="0.3">
      <c r="B104" s="262">
        <v>100</v>
      </c>
      <c r="C104" s="60" t="s">
        <v>1506</v>
      </c>
      <c r="D104" s="61" t="s">
        <v>1507</v>
      </c>
      <c r="E104" s="62" t="s">
        <v>1508</v>
      </c>
      <c r="F104" s="62" t="s">
        <v>2575</v>
      </c>
      <c r="G104" s="62" t="s">
        <v>2575</v>
      </c>
      <c r="H104" s="61" t="s">
        <v>2575</v>
      </c>
      <c r="I104" s="61" t="s">
        <v>2575</v>
      </c>
      <c r="J104" s="62" t="s">
        <v>1509</v>
      </c>
      <c r="K104" s="62" t="s">
        <v>2455</v>
      </c>
      <c r="L104" s="263" t="s">
        <v>1511</v>
      </c>
    </row>
    <row r="105" spans="2:12" ht="24" x14ac:dyDescent="0.3">
      <c r="B105" s="262">
        <v>101</v>
      </c>
      <c r="C105" s="60" t="s">
        <v>1512</v>
      </c>
      <c r="D105" s="61" t="s">
        <v>1513</v>
      </c>
      <c r="E105" s="62" t="s">
        <v>786</v>
      </c>
      <c r="F105" s="62" t="s">
        <v>2575</v>
      </c>
      <c r="G105" s="62" t="s">
        <v>2575</v>
      </c>
      <c r="H105" s="61" t="s">
        <v>2575</v>
      </c>
      <c r="I105" s="61" t="s">
        <v>2575</v>
      </c>
      <c r="J105" s="61" t="s">
        <v>1514</v>
      </c>
      <c r="K105" s="61" t="s">
        <v>1515</v>
      </c>
      <c r="L105" s="263" t="s">
        <v>1511</v>
      </c>
    </row>
    <row r="106" spans="2:12" ht="24" x14ac:dyDescent="0.3">
      <c r="B106" s="262">
        <v>102</v>
      </c>
      <c r="C106" s="60" t="s">
        <v>1516</v>
      </c>
      <c r="D106" s="61" t="s">
        <v>1517</v>
      </c>
      <c r="E106" s="62" t="s">
        <v>786</v>
      </c>
      <c r="F106" s="62" t="s">
        <v>2575</v>
      </c>
      <c r="G106" s="62" t="s">
        <v>2575</v>
      </c>
      <c r="H106" s="61" t="s">
        <v>2575</v>
      </c>
      <c r="I106" s="61" t="s">
        <v>2575</v>
      </c>
      <c r="J106" s="61" t="s">
        <v>988</v>
      </c>
      <c r="K106" s="61" t="s">
        <v>1518</v>
      </c>
      <c r="L106" s="263" t="s">
        <v>1505</v>
      </c>
    </row>
    <row r="107" spans="2:12" ht="24" x14ac:dyDescent="0.3">
      <c r="B107" s="262">
        <v>103</v>
      </c>
      <c r="C107" s="60" t="s">
        <v>1519</v>
      </c>
      <c r="D107" s="61" t="s">
        <v>1520</v>
      </c>
      <c r="E107" s="62" t="s">
        <v>816</v>
      </c>
      <c r="F107" s="62" t="s">
        <v>2575</v>
      </c>
      <c r="G107" s="62" t="s">
        <v>2575</v>
      </c>
      <c r="H107" s="61" t="s">
        <v>2575</v>
      </c>
      <c r="I107" s="61" t="s">
        <v>2575</v>
      </c>
      <c r="J107" s="61" t="s">
        <v>995</v>
      </c>
      <c r="K107" s="61" t="s">
        <v>821</v>
      </c>
      <c r="L107" s="263" t="s">
        <v>1511</v>
      </c>
    </row>
    <row r="108" spans="2:12" ht="12" x14ac:dyDescent="0.3">
      <c r="B108" s="262">
        <v>104</v>
      </c>
      <c r="C108" s="60" t="s">
        <v>1521</v>
      </c>
      <c r="D108" s="61" t="s">
        <v>1522</v>
      </c>
      <c r="E108" s="62" t="s">
        <v>727</v>
      </c>
      <c r="F108" s="62" t="s">
        <v>2575</v>
      </c>
      <c r="G108" s="62" t="s">
        <v>2575</v>
      </c>
      <c r="H108" s="61" t="s">
        <v>2575</v>
      </c>
      <c r="I108" s="61" t="s">
        <v>2575</v>
      </c>
      <c r="J108" s="61" t="s">
        <v>988</v>
      </c>
      <c r="K108" s="61" t="s">
        <v>731</v>
      </c>
      <c r="L108" s="263" t="s">
        <v>1511</v>
      </c>
    </row>
    <row r="109" spans="2:12" ht="12" x14ac:dyDescent="0.3">
      <c r="B109" s="262">
        <v>105</v>
      </c>
      <c r="C109" s="60" t="s">
        <v>1523</v>
      </c>
      <c r="D109" s="61" t="s">
        <v>1524</v>
      </c>
      <c r="E109" s="62" t="s">
        <v>727</v>
      </c>
      <c r="F109" s="62" t="s">
        <v>2575</v>
      </c>
      <c r="G109" s="62" t="s">
        <v>2575</v>
      </c>
      <c r="H109" s="61" t="s">
        <v>2575</v>
      </c>
      <c r="I109" s="61" t="s">
        <v>2575</v>
      </c>
      <c r="J109" s="61" t="s">
        <v>747</v>
      </c>
      <c r="K109" s="61" t="s">
        <v>731</v>
      </c>
      <c r="L109" s="263" t="s">
        <v>1511</v>
      </c>
    </row>
    <row r="110" spans="2:12" ht="12" x14ac:dyDescent="0.3">
      <c r="B110" s="262">
        <v>106</v>
      </c>
      <c r="C110" s="60" t="s">
        <v>1525</v>
      </c>
      <c r="D110" s="61" t="s">
        <v>1526</v>
      </c>
      <c r="E110" s="62" t="s">
        <v>1006</v>
      </c>
      <c r="F110" s="62" t="s">
        <v>2575</v>
      </c>
      <c r="G110" s="62" t="s">
        <v>2575</v>
      </c>
      <c r="H110" s="61" t="s">
        <v>2575</v>
      </c>
      <c r="I110" s="61" t="s">
        <v>2575</v>
      </c>
      <c r="J110" s="61" t="s">
        <v>1490</v>
      </c>
      <c r="K110" s="61" t="s">
        <v>704</v>
      </c>
      <c r="L110" s="263" t="s">
        <v>1511</v>
      </c>
    </row>
    <row r="111" spans="2:12" ht="12" x14ac:dyDescent="0.3">
      <c r="B111" s="262">
        <v>107</v>
      </c>
      <c r="C111" s="60" t="s">
        <v>1527</v>
      </c>
      <c r="D111" s="61" t="s">
        <v>1528</v>
      </c>
      <c r="E111" s="62" t="s">
        <v>1006</v>
      </c>
      <c r="F111" s="62" t="s">
        <v>2575</v>
      </c>
      <c r="G111" s="62" t="s">
        <v>2575</v>
      </c>
      <c r="H111" s="61" t="s">
        <v>2575</v>
      </c>
      <c r="I111" s="61" t="s">
        <v>2575</v>
      </c>
      <c r="J111" s="61" t="s">
        <v>1009</v>
      </c>
      <c r="K111" s="61" t="s">
        <v>731</v>
      </c>
      <c r="L111" s="263" t="s">
        <v>1511</v>
      </c>
    </row>
    <row r="112" spans="2:12" ht="12" x14ac:dyDescent="0.3">
      <c r="B112" s="262">
        <v>108</v>
      </c>
      <c r="C112" s="60" t="s">
        <v>1529</v>
      </c>
      <c r="D112" s="61" t="s">
        <v>1530</v>
      </c>
      <c r="E112" s="62" t="s">
        <v>1531</v>
      </c>
      <c r="F112" s="62" t="s">
        <v>2575</v>
      </c>
      <c r="G112" s="62" t="s">
        <v>2575</v>
      </c>
      <c r="H112" s="61" t="s">
        <v>2575</v>
      </c>
      <c r="I112" s="61" t="s">
        <v>2575</v>
      </c>
      <c r="J112" s="61" t="s">
        <v>988</v>
      </c>
      <c r="K112" s="61" t="s">
        <v>790</v>
      </c>
      <c r="L112" s="263" t="s">
        <v>1532</v>
      </c>
    </row>
    <row r="113" spans="2:12" ht="24" x14ac:dyDescent="0.3">
      <c r="B113" s="262">
        <v>109</v>
      </c>
      <c r="C113" s="60" t="s">
        <v>1533</v>
      </c>
      <c r="D113" s="61" t="s">
        <v>1534</v>
      </c>
      <c r="E113" s="62" t="s">
        <v>786</v>
      </c>
      <c r="F113" s="62" t="s">
        <v>2575</v>
      </c>
      <c r="G113" s="62" t="s">
        <v>2575</v>
      </c>
      <c r="H113" s="61" t="s">
        <v>2575</v>
      </c>
      <c r="I113" s="61" t="s">
        <v>2575</v>
      </c>
      <c r="J113" s="61" t="s">
        <v>988</v>
      </c>
      <c r="K113" s="61" t="s">
        <v>790</v>
      </c>
      <c r="L113" s="263" t="s">
        <v>1511</v>
      </c>
    </row>
    <row r="114" spans="2:12" ht="12" x14ac:dyDescent="0.3">
      <c r="B114" s="262">
        <v>110</v>
      </c>
      <c r="C114" s="60" t="s">
        <v>1535</v>
      </c>
      <c r="D114" s="61" t="s">
        <v>1536</v>
      </c>
      <c r="E114" s="62" t="s">
        <v>673</v>
      </c>
      <c r="F114" s="62" t="s">
        <v>2575</v>
      </c>
      <c r="G114" s="62" t="s">
        <v>2575</v>
      </c>
      <c r="H114" s="61" t="s">
        <v>2575</v>
      </c>
      <c r="I114" s="61" t="s">
        <v>2575</v>
      </c>
      <c r="J114" s="61" t="s">
        <v>1397</v>
      </c>
      <c r="K114" s="61" t="s">
        <v>638</v>
      </c>
      <c r="L114" s="263" t="s">
        <v>1537</v>
      </c>
    </row>
    <row r="115" spans="2:12" ht="12" x14ac:dyDescent="0.3">
      <c r="B115" s="262">
        <v>111</v>
      </c>
      <c r="C115" s="60" t="s">
        <v>1538</v>
      </c>
      <c r="D115" s="61" t="s">
        <v>1539</v>
      </c>
      <c r="E115" s="62" t="s">
        <v>673</v>
      </c>
      <c r="F115" s="62" t="s">
        <v>2575</v>
      </c>
      <c r="G115" s="62" t="s">
        <v>2575</v>
      </c>
      <c r="H115" s="61" t="s">
        <v>2575</v>
      </c>
      <c r="I115" s="61" t="s">
        <v>2575</v>
      </c>
      <c r="J115" s="61" t="s">
        <v>995</v>
      </c>
      <c r="K115" s="61" t="s">
        <v>638</v>
      </c>
      <c r="L115" s="263" t="s">
        <v>591</v>
      </c>
    </row>
    <row r="116" spans="2:12" ht="12" x14ac:dyDescent="0.3">
      <c r="B116" s="262">
        <v>112</v>
      </c>
      <c r="C116" s="60" t="s">
        <v>1540</v>
      </c>
      <c r="D116" s="61" t="s">
        <v>1541</v>
      </c>
      <c r="E116" s="62" t="s">
        <v>673</v>
      </c>
      <c r="F116" s="62" t="s">
        <v>2575</v>
      </c>
      <c r="G116" s="62" t="s">
        <v>2575</v>
      </c>
      <c r="H116" s="61" t="s">
        <v>2575</v>
      </c>
      <c r="I116" s="61" t="s">
        <v>2575</v>
      </c>
      <c r="J116" s="61" t="s">
        <v>747</v>
      </c>
      <c r="K116" s="61" t="s">
        <v>638</v>
      </c>
      <c r="L116" s="263" t="s">
        <v>1537</v>
      </c>
    </row>
    <row r="117" spans="2:12" ht="24" x14ac:dyDescent="0.3">
      <c r="B117" s="262">
        <v>113</v>
      </c>
      <c r="C117" s="60" t="s">
        <v>1542</v>
      </c>
      <c r="D117" s="61" t="s">
        <v>1543</v>
      </c>
      <c r="E117" s="62" t="s">
        <v>786</v>
      </c>
      <c r="F117" s="62" t="s">
        <v>2575</v>
      </c>
      <c r="G117" s="62" t="s">
        <v>2575</v>
      </c>
      <c r="H117" s="61" t="s">
        <v>2575</v>
      </c>
      <c r="I117" s="61" t="s">
        <v>2575</v>
      </c>
      <c r="J117" s="61" t="s">
        <v>747</v>
      </c>
      <c r="K117" s="61" t="s">
        <v>738</v>
      </c>
      <c r="L117" s="263" t="s">
        <v>1505</v>
      </c>
    </row>
    <row r="118" spans="2:12" ht="24" x14ac:dyDescent="0.3">
      <c r="B118" s="262">
        <v>114</v>
      </c>
      <c r="C118" s="60" t="s">
        <v>1544</v>
      </c>
      <c r="D118" s="61" t="s">
        <v>1545</v>
      </c>
      <c r="E118" s="62" t="s">
        <v>1546</v>
      </c>
      <c r="F118" s="62" t="s">
        <v>2575</v>
      </c>
      <c r="G118" s="62" t="s">
        <v>2575</v>
      </c>
      <c r="H118" s="61" t="s">
        <v>2575</v>
      </c>
      <c r="I118" s="61" t="s">
        <v>2575</v>
      </c>
      <c r="J118" s="61" t="s">
        <v>1009</v>
      </c>
      <c r="K118" s="61" t="s">
        <v>863</v>
      </c>
      <c r="L118" s="263" t="s">
        <v>1505</v>
      </c>
    </row>
    <row r="119" spans="2:12" ht="24" x14ac:dyDescent="0.3">
      <c r="B119" s="262">
        <v>115</v>
      </c>
      <c r="C119" s="60" t="s">
        <v>1547</v>
      </c>
      <c r="D119" s="61" t="s">
        <v>1548</v>
      </c>
      <c r="E119" s="62" t="s">
        <v>1546</v>
      </c>
      <c r="F119" s="62" t="s">
        <v>2575</v>
      </c>
      <c r="G119" s="62" t="s">
        <v>2575</v>
      </c>
      <c r="H119" s="61" t="s">
        <v>2575</v>
      </c>
      <c r="I119" s="61" t="s">
        <v>2575</v>
      </c>
      <c r="J119" s="61" t="s">
        <v>979</v>
      </c>
      <c r="K119" s="61" t="s">
        <v>863</v>
      </c>
      <c r="L119" s="263" t="s">
        <v>629</v>
      </c>
    </row>
    <row r="120" spans="2:12" ht="24" x14ac:dyDescent="0.3">
      <c r="B120" s="262">
        <v>116</v>
      </c>
      <c r="C120" s="60" t="s">
        <v>1549</v>
      </c>
      <c r="D120" s="61" t="s">
        <v>1550</v>
      </c>
      <c r="E120" s="62" t="s">
        <v>786</v>
      </c>
      <c r="F120" s="62" t="s">
        <v>2575</v>
      </c>
      <c r="G120" s="62" t="s">
        <v>2575</v>
      </c>
      <c r="H120" s="61" t="s">
        <v>2575</v>
      </c>
      <c r="I120" s="61" t="s">
        <v>2575</v>
      </c>
      <c r="J120" s="61" t="s">
        <v>979</v>
      </c>
      <c r="K120" s="61" t="s">
        <v>694</v>
      </c>
      <c r="L120" s="263" t="s">
        <v>1511</v>
      </c>
    </row>
    <row r="121" spans="2:12" ht="24" x14ac:dyDescent="0.3">
      <c r="B121" s="262">
        <v>117</v>
      </c>
      <c r="C121" s="60" t="s">
        <v>1551</v>
      </c>
      <c r="D121" s="61" t="s">
        <v>1552</v>
      </c>
      <c r="E121" s="62" t="s">
        <v>786</v>
      </c>
      <c r="F121" s="62" t="s">
        <v>2575</v>
      </c>
      <c r="G121" s="62" t="s">
        <v>2575</v>
      </c>
      <c r="H121" s="61" t="s">
        <v>2575</v>
      </c>
      <c r="I121" s="61" t="s">
        <v>2575</v>
      </c>
      <c r="J121" s="61" t="s">
        <v>988</v>
      </c>
      <c r="K121" s="61" t="s">
        <v>790</v>
      </c>
      <c r="L121" s="263" t="s">
        <v>1532</v>
      </c>
    </row>
    <row r="122" spans="2:12" ht="24" x14ac:dyDescent="0.3">
      <c r="B122" s="262">
        <v>118</v>
      </c>
      <c r="C122" s="60" t="s">
        <v>1553</v>
      </c>
      <c r="D122" s="61" t="s">
        <v>1554</v>
      </c>
      <c r="E122" s="62" t="s">
        <v>786</v>
      </c>
      <c r="F122" s="62" t="s">
        <v>2575</v>
      </c>
      <c r="G122" s="62" t="s">
        <v>2575</v>
      </c>
      <c r="H122" s="61" t="s">
        <v>2575</v>
      </c>
      <c r="I122" s="61" t="s">
        <v>2575</v>
      </c>
      <c r="J122" s="61" t="s">
        <v>1031</v>
      </c>
      <c r="K122" s="61" t="s">
        <v>1555</v>
      </c>
      <c r="L122" s="263" t="s">
        <v>1511</v>
      </c>
    </row>
    <row r="123" spans="2:12" ht="12" x14ac:dyDescent="0.3">
      <c r="B123" s="262">
        <v>119</v>
      </c>
      <c r="C123" s="60" t="s">
        <v>1556</v>
      </c>
      <c r="D123" s="61" t="s">
        <v>1557</v>
      </c>
      <c r="E123" s="62" t="s">
        <v>992</v>
      </c>
      <c r="F123" s="62" t="s">
        <v>2575</v>
      </c>
      <c r="G123" s="62" t="s">
        <v>2575</v>
      </c>
      <c r="H123" s="61" t="s">
        <v>2575</v>
      </c>
      <c r="I123" s="61" t="s">
        <v>2575</v>
      </c>
      <c r="J123" s="61" t="s">
        <v>995</v>
      </c>
      <c r="K123" s="61" t="s">
        <v>790</v>
      </c>
      <c r="L123" s="263" t="s">
        <v>1558</v>
      </c>
    </row>
    <row r="124" spans="2:12" ht="12" x14ac:dyDescent="0.3">
      <c r="B124" s="262">
        <v>120</v>
      </c>
      <c r="C124" s="60" t="s">
        <v>1559</v>
      </c>
      <c r="D124" s="61" t="s">
        <v>1560</v>
      </c>
      <c r="E124" s="62" t="s">
        <v>992</v>
      </c>
      <c r="F124" s="62" t="s">
        <v>2575</v>
      </c>
      <c r="G124" s="62" t="s">
        <v>2575</v>
      </c>
      <c r="H124" s="61" t="s">
        <v>2575</v>
      </c>
      <c r="I124" s="61" t="s">
        <v>2575</v>
      </c>
      <c r="J124" s="61" t="s">
        <v>1009</v>
      </c>
      <c r="K124" s="61" t="s">
        <v>821</v>
      </c>
      <c r="L124" s="263" t="s">
        <v>1561</v>
      </c>
    </row>
    <row r="125" spans="2:12" ht="24" x14ac:dyDescent="0.3">
      <c r="B125" s="262">
        <v>121</v>
      </c>
      <c r="C125" s="60" t="s">
        <v>1562</v>
      </c>
      <c r="D125" s="61" t="s">
        <v>1563</v>
      </c>
      <c r="E125" s="62" t="s">
        <v>1564</v>
      </c>
      <c r="F125" s="62" t="s">
        <v>2575</v>
      </c>
      <c r="G125" s="62" t="s">
        <v>2575</v>
      </c>
      <c r="H125" s="61" t="s">
        <v>2575</v>
      </c>
      <c r="I125" s="61" t="s">
        <v>2575</v>
      </c>
      <c r="J125" s="61" t="s">
        <v>988</v>
      </c>
      <c r="K125" s="61" t="s">
        <v>1518</v>
      </c>
      <c r="L125" s="263" t="s">
        <v>1532</v>
      </c>
    </row>
    <row r="126" spans="2:12" ht="12" x14ac:dyDescent="0.3">
      <c r="B126" s="262">
        <v>122</v>
      </c>
      <c r="C126" s="60" t="s">
        <v>1565</v>
      </c>
      <c r="D126" s="61" t="s">
        <v>1566</v>
      </c>
      <c r="E126" s="62" t="s">
        <v>992</v>
      </c>
      <c r="F126" s="62" t="s">
        <v>2575</v>
      </c>
      <c r="G126" s="62" t="s">
        <v>2575</v>
      </c>
      <c r="H126" s="61" t="s">
        <v>2575</v>
      </c>
      <c r="I126" s="61" t="s">
        <v>2575</v>
      </c>
      <c r="J126" s="61" t="s">
        <v>988</v>
      </c>
      <c r="K126" s="61" t="s">
        <v>1567</v>
      </c>
      <c r="L126" s="263" t="s">
        <v>1558</v>
      </c>
    </row>
    <row r="127" spans="2:12" ht="24" x14ac:dyDescent="0.3">
      <c r="B127" s="262">
        <v>123</v>
      </c>
      <c r="C127" s="60" t="s">
        <v>1568</v>
      </c>
      <c r="D127" s="61" t="s">
        <v>1569</v>
      </c>
      <c r="E127" s="62" t="s">
        <v>786</v>
      </c>
      <c r="F127" s="62" t="s">
        <v>2575</v>
      </c>
      <c r="G127" s="62" t="s">
        <v>2575</v>
      </c>
      <c r="H127" s="61" t="s">
        <v>2575</v>
      </c>
      <c r="I127" s="61" t="s">
        <v>2575</v>
      </c>
      <c r="J127" s="61" t="s">
        <v>988</v>
      </c>
      <c r="K127" s="61" t="s">
        <v>821</v>
      </c>
      <c r="L127" s="263" t="s">
        <v>1511</v>
      </c>
    </row>
    <row r="128" spans="2:12" ht="24" x14ac:dyDescent="0.3">
      <c r="B128" s="262">
        <v>124</v>
      </c>
      <c r="C128" s="60" t="s">
        <v>1570</v>
      </c>
      <c r="D128" s="61" t="s">
        <v>1571</v>
      </c>
      <c r="E128" s="62" t="s">
        <v>816</v>
      </c>
      <c r="F128" s="62" t="s">
        <v>2575</v>
      </c>
      <c r="G128" s="62" t="s">
        <v>2575</v>
      </c>
      <c r="H128" s="61" t="s">
        <v>2575</v>
      </c>
      <c r="I128" s="61" t="s">
        <v>2575</v>
      </c>
      <c r="J128" s="61" t="s">
        <v>970</v>
      </c>
      <c r="K128" s="61" t="s">
        <v>790</v>
      </c>
      <c r="L128" s="263" t="s">
        <v>1532</v>
      </c>
    </row>
    <row r="129" spans="2:12" ht="24" x14ac:dyDescent="0.3">
      <c r="B129" s="262">
        <v>125</v>
      </c>
      <c r="C129" s="60" t="s">
        <v>1572</v>
      </c>
      <c r="D129" s="61" t="s">
        <v>1573</v>
      </c>
      <c r="E129" s="62" t="s">
        <v>1082</v>
      </c>
      <c r="F129" s="62" t="s">
        <v>2575</v>
      </c>
      <c r="G129" s="62" t="s">
        <v>2575</v>
      </c>
      <c r="H129" s="61" t="s">
        <v>2575</v>
      </c>
      <c r="I129" s="61" t="s">
        <v>2575</v>
      </c>
      <c r="J129" s="61" t="s">
        <v>1009</v>
      </c>
      <c r="K129" s="61" t="s">
        <v>1574</v>
      </c>
      <c r="L129" s="263" t="s">
        <v>1575</v>
      </c>
    </row>
    <row r="130" spans="2:12" ht="24" x14ac:dyDescent="0.3">
      <c r="B130" s="262">
        <v>126</v>
      </c>
      <c r="C130" s="60" t="s">
        <v>1576</v>
      </c>
      <c r="D130" s="61" t="s">
        <v>1577</v>
      </c>
      <c r="E130" s="62" t="s">
        <v>1564</v>
      </c>
      <c r="F130" s="62" t="s">
        <v>2575</v>
      </c>
      <c r="G130" s="62" t="s">
        <v>2575</v>
      </c>
      <c r="H130" s="61" t="s">
        <v>2575</v>
      </c>
      <c r="I130" s="61" t="s">
        <v>2575</v>
      </c>
      <c r="J130" s="62" t="s">
        <v>1509</v>
      </c>
      <c r="K130" s="62" t="s">
        <v>1578</v>
      </c>
      <c r="L130" s="264" t="s">
        <v>1561</v>
      </c>
    </row>
    <row r="131" spans="2:12" ht="12" x14ac:dyDescent="0.3">
      <c r="B131" s="262">
        <v>127</v>
      </c>
      <c r="C131" s="60" t="s">
        <v>1579</v>
      </c>
      <c r="D131" s="61" t="s">
        <v>1580</v>
      </c>
      <c r="E131" s="62" t="s">
        <v>1581</v>
      </c>
      <c r="F131" s="62" t="s">
        <v>2575</v>
      </c>
      <c r="G131" s="62" t="s">
        <v>2575</v>
      </c>
      <c r="H131" s="62" t="s">
        <v>2575</v>
      </c>
      <c r="I131" s="62" t="s">
        <v>2575</v>
      </c>
      <c r="J131" s="61" t="s">
        <v>970</v>
      </c>
      <c r="K131" s="61" t="s">
        <v>790</v>
      </c>
      <c r="L131" s="265" t="s">
        <v>1511</v>
      </c>
    </row>
    <row r="132" spans="2:12" ht="12" x14ac:dyDescent="0.3">
      <c r="B132" s="262">
        <v>128</v>
      </c>
      <c r="C132" s="60" t="s">
        <v>1582</v>
      </c>
      <c r="D132" s="61" t="s">
        <v>1583</v>
      </c>
      <c r="E132" s="62" t="s">
        <v>1584</v>
      </c>
      <c r="F132" s="62" t="s">
        <v>2575</v>
      </c>
      <c r="G132" s="62" t="s">
        <v>2575</v>
      </c>
      <c r="H132" s="61" t="s">
        <v>2575</v>
      </c>
      <c r="I132" s="61" t="s">
        <v>2575</v>
      </c>
      <c r="J132" s="61" t="s">
        <v>988</v>
      </c>
      <c r="K132" s="61" t="s">
        <v>790</v>
      </c>
      <c r="L132" s="263" t="s">
        <v>1561</v>
      </c>
    </row>
    <row r="133" spans="2:12" ht="24" x14ac:dyDescent="0.3">
      <c r="B133" s="262">
        <v>129</v>
      </c>
      <c r="C133" s="60" t="s">
        <v>1585</v>
      </c>
      <c r="D133" s="61" t="s">
        <v>1586</v>
      </c>
      <c r="E133" s="62" t="s">
        <v>1587</v>
      </c>
      <c r="F133" s="62" t="s">
        <v>2575</v>
      </c>
      <c r="G133" s="62" t="s">
        <v>2575</v>
      </c>
      <c r="H133" s="61" t="s">
        <v>2575</v>
      </c>
      <c r="I133" s="61" t="s">
        <v>2575</v>
      </c>
      <c r="J133" s="61" t="s">
        <v>988</v>
      </c>
      <c r="K133" s="61" t="s">
        <v>1588</v>
      </c>
      <c r="L133" s="263" t="s">
        <v>1561</v>
      </c>
    </row>
    <row r="134" spans="2:12" ht="24" x14ac:dyDescent="0.3">
      <c r="B134" s="262">
        <v>130</v>
      </c>
      <c r="C134" s="60" t="s">
        <v>1589</v>
      </c>
      <c r="D134" s="61" t="s">
        <v>1590</v>
      </c>
      <c r="E134" s="62" t="s">
        <v>1132</v>
      </c>
      <c r="F134" s="62" t="s">
        <v>2575</v>
      </c>
      <c r="G134" s="62" t="s">
        <v>2575</v>
      </c>
      <c r="H134" s="61" t="s">
        <v>2575</v>
      </c>
      <c r="I134" s="61" t="s">
        <v>2575</v>
      </c>
      <c r="J134" s="61" t="s">
        <v>979</v>
      </c>
      <c r="K134" s="61" t="s">
        <v>1591</v>
      </c>
      <c r="L134" s="263" t="s">
        <v>1558</v>
      </c>
    </row>
    <row r="135" spans="2:12" ht="24" x14ac:dyDescent="0.3">
      <c r="B135" s="262">
        <v>131</v>
      </c>
      <c r="C135" s="60" t="s">
        <v>1592</v>
      </c>
      <c r="D135" s="61" t="s">
        <v>1593</v>
      </c>
      <c r="E135" s="62" t="s">
        <v>1594</v>
      </c>
      <c r="F135" s="62" t="s">
        <v>2575</v>
      </c>
      <c r="G135" s="62" t="s">
        <v>2575</v>
      </c>
      <c r="H135" s="61" t="s">
        <v>2575</v>
      </c>
      <c r="I135" s="61" t="s">
        <v>2575</v>
      </c>
      <c r="J135" s="62" t="s">
        <v>1059</v>
      </c>
      <c r="K135" s="61" t="s">
        <v>1595</v>
      </c>
      <c r="L135" s="263" t="s">
        <v>1561</v>
      </c>
    </row>
    <row r="136" spans="2:12" ht="24" x14ac:dyDescent="0.3">
      <c r="B136" s="262">
        <v>132</v>
      </c>
      <c r="C136" s="60" t="s">
        <v>1596</v>
      </c>
      <c r="D136" s="61" t="s">
        <v>1597</v>
      </c>
      <c r="E136" s="62" t="s">
        <v>1594</v>
      </c>
      <c r="F136" s="62" t="s">
        <v>2575</v>
      </c>
      <c r="G136" s="62" t="s">
        <v>2575</v>
      </c>
      <c r="H136" s="61" t="s">
        <v>2575</v>
      </c>
      <c r="I136" s="61" t="s">
        <v>2575</v>
      </c>
      <c r="J136" s="61" t="s">
        <v>1009</v>
      </c>
      <c r="K136" s="61" t="s">
        <v>1574</v>
      </c>
      <c r="L136" s="263" t="s">
        <v>1561</v>
      </c>
    </row>
    <row r="137" spans="2:12" ht="24" x14ac:dyDescent="0.3">
      <c r="B137" s="262">
        <v>133</v>
      </c>
      <c r="C137" s="60" t="s">
        <v>1598</v>
      </c>
      <c r="D137" s="61" t="s">
        <v>1597</v>
      </c>
      <c r="E137" s="62" t="s">
        <v>1594</v>
      </c>
      <c r="F137" s="62" t="s">
        <v>2575</v>
      </c>
      <c r="G137" s="62" t="s">
        <v>2575</v>
      </c>
      <c r="H137" s="61" t="s">
        <v>2575</v>
      </c>
      <c r="I137" s="61" t="s">
        <v>2575</v>
      </c>
      <c r="J137" s="61" t="s">
        <v>1009</v>
      </c>
      <c r="K137" s="61" t="s">
        <v>1574</v>
      </c>
      <c r="L137" s="263" t="s">
        <v>1575</v>
      </c>
    </row>
    <row r="138" spans="2:12" ht="12" x14ac:dyDescent="0.3">
      <c r="B138" s="262">
        <v>134</v>
      </c>
      <c r="C138" s="60" t="s">
        <v>1599</v>
      </c>
      <c r="D138" s="61" t="s">
        <v>1600</v>
      </c>
      <c r="E138" s="62" t="s">
        <v>1601</v>
      </c>
      <c r="F138" s="62" t="s">
        <v>2575</v>
      </c>
      <c r="G138" s="62" t="s">
        <v>2575</v>
      </c>
      <c r="H138" s="61" t="s">
        <v>2575</v>
      </c>
      <c r="I138" s="61" t="s">
        <v>2575</v>
      </c>
      <c r="J138" s="61" t="s">
        <v>1059</v>
      </c>
      <c r="K138" s="61" t="s">
        <v>738</v>
      </c>
      <c r="L138" s="263" t="s">
        <v>1561</v>
      </c>
    </row>
    <row r="139" spans="2:12" ht="24" x14ac:dyDescent="0.3">
      <c r="B139" s="262">
        <v>135</v>
      </c>
      <c r="C139" s="60" t="s">
        <v>1602</v>
      </c>
      <c r="D139" s="61" t="s">
        <v>1603</v>
      </c>
      <c r="E139" s="62" t="s">
        <v>1604</v>
      </c>
      <c r="F139" s="62" t="s">
        <v>2575</v>
      </c>
      <c r="G139" s="62" t="s">
        <v>2575</v>
      </c>
      <c r="H139" s="61" t="s">
        <v>2575</v>
      </c>
      <c r="I139" s="61" t="s">
        <v>2575</v>
      </c>
      <c r="J139" s="61" t="s">
        <v>1059</v>
      </c>
      <c r="K139" s="61" t="s">
        <v>1605</v>
      </c>
      <c r="L139" s="263" t="s">
        <v>1561</v>
      </c>
    </row>
    <row r="140" spans="2:12" ht="24" x14ac:dyDescent="0.3">
      <c r="B140" s="262">
        <v>136</v>
      </c>
      <c r="C140" s="60" t="s">
        <v>1606</v>
      </c>
      <c r="D140" s="61" t="s">
        <v>1607</v>
      </c>
      <c r="E140" s="62" t="s">
        <v>1132</v>
      </c>
      <c r="F140" s="62" t="s">
        <v>2575</v>
      </c>
      <c r="G140" s="62" t="s">
        <v>2575</v>
      </c>
      <c r="H140" s="61" t="s">
        <v>2575</v>
      </c>
      <c r="I140" s="61" t="s">
        <v>2575</v>
      </c>
      <c r="J140" s="62" t="s">
        <v>1608</v>
      </c>
      <c r="K140" s="62" t="s">
        <v>1609</v>
      </c>
      <c r="L140" s="263" t="s">
        <v>1575</v>
      </c>
    </row>
    <row r="141" spans="2:12" ht="24" x14ac:dyDescent="0.3">
      <c r="B141" s="262">
        <v>137</v>
      </c>
      <c r="C141" s="60" t="s">
        <v>1610</v>
      </c>
      <c r="D141" s="61" t="s">
        <v>1611</v>
      </c>
      <c r="E141" s="62" t="s">
        <v>1594</v>
      </c>
      <c r="F141" s="62" t="s">
        <v>2575</v>
      </c>
      <c r="G141" s="62" t="s">
        <v>2575</v>
      </c>
      <c r="H141" s="61" t="s">
        <v>2575</v>
      </c>
      <c r="I141" s="61" t="s">
        <v>2575</v>
      </c>
      <c r="J141" s="62" t="s">
        <v>1509</v>
      </c>
      <c r="K141" s="62" t="s">
        <v>2456</v>
      </c>
      <c r="L141" s="263" t="s">
        <v>1558</v>
      </c>
    </row>
    <row r="142" spans="2:12" ht="24" x14ac:dyDescent="0.3">
      <c r="B142" s="262">
        <v>138</v>
      </c>
      <c r="C142" s="60" t="s">
        <v>1613</v>
      </c>
      <c r="D142" s="61" t="s">
        <v>1614</v>
      </c>
      <c r="E142" s="62" t="s">
        <v>1615</v>
      </c>
      <c r="F142" s="62" t="s">
        <v>2575</v>
      </c>
      <c r="G142" s="62" t="s">
        <v>2575</v>
      </c>
      <c r="H142" s="61" t="s">
        <v>2575</v>
      </c>
      <c r="I142" s="61" t="s">
        <v>2575</v>
      </c>
      <c r="J142" s="61" t="s">
        <v>1009</v>
      </c>
      <c r="K142" s="61" t="s">
        <v>694</v>
      </c>
      <c r="L142" s="263" t="s">
        <v>1558</v>
      </c>
    </row>
    <row r="143" spans="2:12" ht="24" x14ac:dyDescent="0.3">
      <c r="B143" s="262">
        <v>139</v>
      </c>
      <c r="C143" s="60" t="s">
        <v>1616</v>
      </c>
      <c r="D143" s="61" t="s">
        <v>1618</v>
      </c>
      <c r="E143" s="62" t="s">
        <v>1619</v>
      </c>
      <c r="F143" s="62" t="s">
        <v>2575</v>
      </c>
      <c r="G143" s="62" t="s">
        <v>2575</v>
      </c>
      <c r="H143" s="61" t="s">
        <v>2575</v>
      </c>
      <c r="I143" s="61" t="s">
        <v>2575</v>
      </c>
      <c r="J143" s="61" t="s">
        <v>1620</v>
      </c>
      <c r="K143" s="61" t="s">
        <v>790</v>
      </c>
      <c r="L143" s="263" t="s">
        <v>1561</v>
      </c>
    </row>
    <row r="144" spans="2:12" ht="24" x14ac:dyDescent="0.3">
      <c r="B144" s="262">
        <v>140</v>
      </c>
      <c r="C144" s="60" t="s">
        <v>1621</v>
      </c>
      <c r="D144" s="61" t="s">
        <v>1622</v>
      </c>
      <c r="E144" s="62" t="s">
        <v>1619</v>
      </c>
      <c r="F144" s="62" t="s">
        <v>2575</v>
      </c>
      <c r="G144" s="62" t="s">
        <v>2575</v>
      </c>
      <c r="H144" s="61" t="s">
        <v>2575</v>
      </c>
      <c r="I144" s="61" t="s">
        <v>2575</v>
      </c>
      <c r="J144" s="61" t="s">
        <v>1620</v>
      </c>
      <c r="K144" s="61" t="s">
        <v>790</v>
      </c>
      <c r="L144" s="263" t="s">
        <v>1532</v>
      </c>
    </row>
    <row r="145" spans="2:12" ht="24" x14ac:dyDescent="0.3">
      <c r="B145" s="262">
        <v>141</v>
      </c>
      <c r="C145" s="60" t="s">
        <v>1623</v>
      </c>
      <c r="D145" s="61" t="s">
        <v>1624</v>
      </c>
      <c r="E145" s="62" t="s">
        <v>1625</v>
      </c>
      <c r="F145" s="62" t="s">
        <v>2575</v>
      </c>
      <c r="G145" s="62" t="s">
        <v>2575</v>
      </c>
      <c r="H145" s="61" t="s">
        <v>2575</v>
      </c>
      <c r="I145" s="61" t="s">
        <v>2575</v>
      </c>
      <c r="J145" s="61" t="s">
        <v>1620</v>
      </c>
      <c r="K145" s="61" t="s">
        <v>1626</v>
      </c>
      <c r="L145" s="263" t="s">
        <v>1532</v>
      </c>
    </row>
    <row r="146" spans="2:12" ht="24" x14ac:dyDescent="0.3">
      <c r="B146" s="262">
        <v>142</v>
      </c>
      <c r="C146" s="60" t="s">
        <v>1627</v>
      </c>
      <c r="D146" s="61" t="s">
        <v>1628</v>
      </c>
      <c r="E146" s="62" t="s">
        <v>1615</v>
      </c>
      <c r="F146" s="62" t="s">
        <v>2575</v>
      </c>
      <c r="G146" s="62" t="s">
        <v>2575</v>
      </c>
      <c r="H146" s="61" t="s">
        <v>2575</v>
      </c>
      <c r="I146" s="61" t="s">
        <v>2575</v>
      </c>
      <c r="J146" s="62" t="s">
        <v>1629</v>
      </c>
      <c r="K146" s="62" t="s">
        <v>1630</v>
      </c>
      <c r="L146" s="263" t="s">
        <v>1558</v>
      </c>
    </row>
    <row r="147" spans="2:12" ht="24" x14ac:dyDescent="0.3">
      <c r="B147" s="262">
        <v>143</v>
      </c>
      <c r="C147" s="60" t="s">
        <v>1631</v>
      </c>
      <c r="D147" s="61" t="s">
        <v>1632</v>
      </c>
      <c r="E147" s="62" t="s">
        <v>1615</v>
      </c>
      <c r="F147" s="62" t="s">
        <v>2575</v>
      </c>
      <c r="G147" s="62" t="s">
        <v>2575</v>
      </c>
      <c r="H147" s="61" t="s">
        <v>2575</v>
      </c>
      <c r="I147" s="61" t="s">
        <v>2575</v>
      </c>
      <c r="J147" s="62" t="s">
        <v>1608</v>
      </c>
      <c r="K147" s="62" t="s">
        <v>1633</v>
      </c>
      <c r="L147" s="263" t="s">
        <v>1575</v>
      </c>
    </row>
    <row r="148" spans="2:12" ht="24" x14ac:dyDescent="0.3">
      <c r="B148" s="262">
        <v>144</v>
      </c>
      <c r="C148" s="60" t="s">
        <v>1634</v>
      </c>
      <c r="D148" s="61" t="s">
        <v>1635</v>
      </c>
      <c r="E148" s="62" t="s">
        <v>1636</v>
      </c>
      <c r="F148" s="62" t="s">
        <v>2575</v>
      </c>
      <c r="G148" s="62" t="s">
        <v>2575</v>
      </c>
      <c r="H148" s="61" t="s">
        <v>2575</v>
      </c>
      <c r="I148" s="61" t="s">
        <v>2575</v>
      </c>
      <c r="J148" s="61" t="s">
        <v>988</v>
      </c>
      <c r="K148" s="61" t="s">
        <v>694</v>
      </c>
      <c r="L148" s="263" t="s">
        <v>1575</v>
      </c>
    </row>
    <row r="149" spans="2:12" ht="24" x14ac:dyDescent="0.3">
      <c r="B149" s="262">
        <v>145</v>
      </c>
      <c r="C149" s="60" t="s">
        <v>1637</v>
      </c>
      <c r="D149" s="61" t="s">
        <v>1638</v>
      </c>
      <c r="E149" s="62" t="s">
        <v>1639</v>
      </c>
      <c r="F149" s="62" t="s">
        <v>2575</v>
      </c>
      <c r="G149" s="62" t="s">
        <v>2575</v>
      </c>
      <c r="H149" s="61" t="s">
        <v>2575</v>
      </c>
      <c r="I149" s="61" t="s">
        <v>2575</v>
      </c>
      <c r="J149" s="61" t="s">
        <v>1059</v>
      </c>
      <c r="K149" s="61" t="s">
        <v>738</v>
      </c>
      <c r="L149" s="263" t="s">
        <v>1558</v>
      </c>
    </row>
    <row r="150" spans="2:12" ht="24" x14ac:dyDescent="0.3">
      <c r="B150" s="262">
        <v>146</v>
      </c>
      <c r="C150" s="60" t="s">
        <v>1640</v>
      </c>
      <c r="D150" s="61" t="s">
        <v>1641</v>
      </c>
      <c r="E150" s="62" t="s">
        <v>1636</v>
      </c>
      <c r="F150" s="62" t="s">
        <v>2575</v>
      </c>
      <c r="G150" s="62" t="s">
        <v>2575</v>
      </c>
      <c r="H150" s="61" t="s">
        <v>2575</v>
      </c>
      <c r="I150" s="61" t="s">
        <v>2575</v>
      </c>
      <c r="J150" s="61" t="s">
        <v>988</v>
      </c>
      <c r="K150" s="61" t="s">
        <v>694</v>
      </c>
      <c r="L150" s="263" t="s">
        <v>1575</v>
      </c>
    </row>
    <row r="151" spans="2:12" ht="24" x14ac:dyDescent="0.3">
      <c r="B151" s="262">
        <v>147</v>
      </c>
      <c r="C151" s="60" t="s">
        <v>1642</v>
      </c>
      <c r="D151" s="61" t="s">
        <v>1643</v>
      </c>
      <c r="E151" s="62" t="s">
        <v>1636</v>
      </c>
      <c r="F151" s="62" t="s">
        <v>2575</v>
      </c>
      <c r="G151" s="62" t="s">
        <v>2575</v>
      </c>
      <c r="H151" s="62" t="s">
        <v>2575</v>
      </c>
      <c r="I151" s="62" t="s">
        <v>2575</v>
      </c>
      <c r="J151" s="62" t="s">
        <v>1644</v>
      </c>
      <c r="K151" s="62" t="s">
        <v>1645</v>
      </c>
      <c r="L151" s="265" t="s">
        <v>1575</v>
      </c>
    </row>
    <row r="152" spans="2:12" ht="24" x14ac:dyDescent="0.3">
      <c r="B152" s="262">
        <v>148</v>
      </c>
      <c r="C152" s="60" t="s">
        <v>1646</v>
      </c>
      <c r="D152" s="61" t="s">
        <v>1647</v>
      </c>
      <c r="E152" s="62" t="s">
        <v>1648</v>
      </c>
      <c r="F152" s="62" t="s">
        <v>2575</v>
      </c>
      <c r="G152" s="62" t="s">
        <v>2575</v>
      </c>
      <c r="H152" s="61" t="s">
        <v>2575</v>
      </c>
      <c r="I152" s="61" t="s">
        <v>2575</v>
      </c>
      <c r="J152" s="62" t="s">
        <v>1649</v>
      </c>
      <c r="K152" s="62" t="s">
        <v>1650</v>
      </c>
      <c r="L152" s="263" t="s">
        <v>1575</v>
      </c>
    </row>
    <row r="153" spans="2:12" ht="24" x14ac:dyDescent="0.3">
      <c r="B153" s="262">
        <v>149</v>
      </c>
      <c r="C153" s="60" t="s">
        <v>1651</v>
      </c>
      <c r="D153" s="61" t="s">
        <v>1652</v>
      </c>
      <c r="E153" s="62" t="s">
        <v>1508</v>
      </c>
      <c r="F153" s="62" t="s">
        <v>2575</v>
      </c>
      <c r="G153" s="62" t="s">
        <v>2575</v>
      </c>
      <c r="H153" s="61" t="s">
        <v>2575</v>
      </c>
      <c r="I153" s="61" t="s">
        <v>2575</v>
      </c>
      <c r="J153" s="61" t="s">
        <v>1653</v>
      </c>
      <c r="K153" s="61" t="s">
        <v>514</v>
      </c>
      <c r="L153" s="263" t="s">
        <v>1537</v>
      </c>
    </row>
    <row r="154" spans="2:12" ht="24" x14ac:dyDescent="0.3">
      <c r="B154" s="262">
        <v>150</v>
      </c>
      <c r="C154" s="60" t="s">
        <v>1654</v>
      </c>
      <c r="D154" s="61" t="s">
        <v>1655</v>
      </c>
      <c r="E154" s="62" t="s">
        <v>1508</v>
      </c>
      <c r="F154" s="62" t="s">
        <v>2575</v>
      </c>
      <c r="G154" s="62" t="s">
        <v>2575</v>
      </c>
      <c r="H154" s="61" t="s">
        <v>2575</v>
      </c>
      <c r="I154" s="61" t="s">
        <v>2575</v>
      </c>
      <c r="J154" s="61" t="s">
        <v>1044</v>
      </c>
      <c r="K154" s="61" t="s">
        <v>1656</v>
      </c>
      <c r="L154" s="264" t="s">
        <v>1532</v>
      </c>
    </row>
    <row r="155" spans="2:12" ht="24" x14ac:dyDescent="0.3">
      <c r="B155" s="262">
        <v>151</v>
      </c>
      <c r="C155" s="60" t="s">
        <v>1657</v>
      </c>
      <c r="D155" s="61" t="s">
        <v>1658</v>
      </c>
      <c r="E155" s="62" t="s">
        <v>1082</v>
      </c>
      <c r="F155" s="62" t="s">
        <v>2575</v>
      </c>
      <c r="G155" s="62" t="s">
        <v>2575</v>
      </c>
      <c r="H155" s="61" t="s">
        <v>2575</v>
      </c>
      <c r="I155" s="63" t="s">
        <v>2575</v>
      </c>
      <c r="J155" s="61" t="s">
        <v>1653</v>
      </c>
      <c r="K155" s="62" t="s">
        <v>514</v>
      </c>
      <c r="L155" s="264" t="s">
        <v>1558</v>
      </c>
    </row>
    <row r="156" spans="2:12" ht="24" x14ac:dyDescent="0.3">
      <c r="B156" s="262">
        <v>152</v>
      </c>
      <c r="C156" s="60" t="s">
        <v>1659</v>
      </c>
      <c r="D156" s="61" t="s">
        <v>1660</v>
      </c>
      <c r="E156" s="62" t="s">
        <v>1082</v>
      </c>
      <c r="F156" s="62" t="s">
        <v>2575</v>
      </c>
      <c r="G156" s="62" t="s">
        <v>2575</v>
      </c>
      <c r="H156" s="61" t="s">
        <v>2575</v>
      </c>
      <c r="I156" s="61" t="s">
        <v>2575</v>
      </c>
      <c r="J156" s="61" t="s">
        <v>1044</v>
      </c>
      <c r="K156" s="61" t="s">
        <v>1656</v>
      </c>
      <c r="L156" s="263" t="s">
        <v>1558</v>
      </c>
    </row>
    <row r="157" spans="2:12" ht="12" x14ac:dyDescent="0.3">
      <c r="B157" s="262">
        <v>153</v>
      </c>
      <c r="C157" s="60" t="s">
        <v>1661</v>
      </c>
      <c r="D157" s="61" t="s">
        <v>1662</v>
      </c>
      <c r="E157" s="62" t="s">
        <v>1663</v>
      </c>
      <c r="F157" s="62" t="s">
        <v>2575</v>
      </c>
      <c r="G157" s="62" t="s">
        <v>2575</v>
      </c>
      <c r="H157" s="62" t="s">
        <v>2575</v>
      </c>
      <c r="I157" s="62" t="s">
        <v>2575</v>
      </c>
      <c r="J157" s="62" t="s">
        <v>1664</v>
      </c>
      <c r="K157" s="62" t="s">
        <v>514</v>
      </c>
      <c r="L157" s="265" t="s">
        <v>1532</v>
      </c>
    </row>
    <row r="158" spans="2:12" ht="24" x14ac:dyDescent="0.3">
      <c r="B158" s="262">
        <v>154</v>
      </c>
      <c r="C158" s="60" t="s">
        <v>1665</v>
      </c>
      <c r="D158" s="61" t="s">
        <v>1666</v>
      </c>
      <c r="E158" s="62" t="s">
        <v>1594</v>
      </c>
      <c r="F158" s="62" t="s">
        <v>2575</v>
      </c>
      <c r="G158" s="62" t="s">
        <v>2575</v>
      </c>
      <c r="H158" s="61" t="s">
        <v>2575</v>
      </c>
      <c r="I158" s="61" t="s">
        <v>2575</v>
      </c>
      <c r="J158" s="61" t="s">
        <v>1653</v>
      </c>
      <c r="K158" s="61" t="s">
        <v>514</v>
      </c>
      <c r="L158" s="263" t="s">
        <v>1575</v>
      </c>
    </row>
    <row r="159" spans="2:12" ht="24" x14ac:dyDescent="0.3">
      <c r="B159" s="262">
        <v>155</v>
      </c>
      <c r="C159" s="60" t="s">
        <v>1667</v>
      </c>
      <c r="D159" s="61" t="s">
        <v>1668</v>
      </c>
      <c r="E159" s="62" t="s">
        <v>1594</v>
      </c>
      <c r="F159" s="62" t="s">
        <v>2575</v>
      </c>
      <c r="G159" s="62" t="s">
        <v>2575</v>
      </c>
      <c r="H159" s="61" t="s">
        <v>2575</v>
      </c>
      <c r="I159" s="61" t="s">
        <v>2575</v>
      </c>
      <c r="J159" s="61" t="s">
        <v>1044</v>
      </c>
      <c r="K159" s="61" t="s">
        <v>1656</v>
      </c>
      <c r="L159" s="263" t="s">
        <v>1575</v>
      </c>
    </row>
    <row r="160" spans="2:12" ht="24" x14ac:dyDescent="0.3">
      <c r="B160" s="262">
        <v>156</v>
      </c>
      <c r="C160" s="60" t="s">
        <v>1669</v>
      </c>
      <c r="D160" s="61" t="s">
        <v>1670</v>
      </c>
      <c r="E160" s="62" t="s">
        <v>1671</v>
      </c>
      <c r="F160" s="62" t="s">
        <v>2575</v>
      </c>
      <c r="G160" s="62" t="s">
        <v>2575</v>
      </c>
      <c r="H160" s="61" t="s">
        <v>2575</v>
      </c>
      <c r="I160" s="61" t="s">
        <v>2575</v>
      </c>
      <c r="J160" s="61" t="s">
        <v>1653</v>
      </c>
      <c r="K160" s="61" t="s">
        <v>722</v>
      </c>
      <c r="L160" s="263" t="s">
        <v>1561</v>
      </c>
    </row>
    <row r="161" spans="2:12" ht="12" x14ac:dyDescent="0.3">
      <c r="B161" s="262">
        <v>157</v>
      </c>
      <c r="C161" s="60" t="s">
        <v>1672</v>
      </c>
      <c r="D161" s="61" t="s">
        <v>1673</v>
      </c>
      <c r="E161" s="62" t="s">
        <v>1674</v>
      </c>
      <c r="F161" s="62" t="s">
        <v>2575</v>
      </c>
      <c r="G161" s="62" t="s">
        <v>2575</v>
      </c>
      <c r="H161" s="61" t="s">
        <v>2575</v>
      </c>
      <c r="I161" s="61" t="s">
        <v>2575</v>
      </c>
      <c r="J161" s="61" t="s">
        <v>1482</v>
      </c>
      <c r="K161" s="61" t="s">
        <v>482</v>
      </c>
      <c r="L161" s="263" t="s">
        <v>506</v>
      </c>
    </row>
    <row r="162" spans="2:12" ht="12" x14ac:dyDescent="0.3">
      <c r="B162" s="262">
        <v>158</v>
      </c>
      <c r="C162" s="60" t="s">
        <v>1675</v>
      </c>
      <c r="D162" s="61" t="s">
        <v>1676</v>
      </c>
      <c r="E162" s="62" t="s">
        <v>645</v>
      </c>
      <c r="F162" s="62" t="s">
        <v>2575</v>
      </c>
      <c r="G162" s="62" t="s">
        <v>2575</v>
      </c>
      <c r="H162" s="61" t="s">
        <v>2575</v>
      </c>
      <c r="I162" s="61" t="s">
        <v>2575</v>
      </c>
      <c r="J162" s="61" t="s">
        <v>481</v>
      </c>
      <c r="K162" s="61" t="s">
        <v>482</v>
      </c>
      <c r="L162" s="263" t="s">
        <v>1677</v>
      </c>
    </row>
    <row r="163" spans="2:12" ht="12" x14ac:dyDescent="0.3">
      <c r="B163" s="262">
        <v>159</v>
      </c>
      <c r="C163" s="60" t="s">
        <v>1678</v>
      </c>
      <c r="D163" s="61" t="s">
        <v>1679</v>
      </c>
      <c r="E163" s="62" t="s">
        <v>1680</v>
      </c>
      <c r="F163" s="62" t="s">
        <v>2575</v>
      </c>
      <c r="G163" s="62" t="s">
        <v>2575</v>
      </c>
      <c r="H163" s="61" t="s">
        <v>2575</v>
      </c>
      <c r="I163" s="61" t="s">
        <v>2575</v>
      </c>
      <c r="J163" s="61" t="s">
        <v>1681</v>
      </c>
      <c r="K163" s="61" t="s">
        <v>494</v>
      </c>
      <c r="L163" s="263" t="s">
        <v>1682</v>
      </c>
    </row>
    <row r="164" spans="2:12" ht="24" x14ac:dyDescent="0.3">
      <c r="B164" s="262">
        <v>160</v>
      </c>
      <c r="C164" s="60" t="s">
        <v>1683</v>
      </c>
      <c r="D164" s="61" t="s">
        <v>1684</v>
      </c>
      <c r="E164" s="62" t="s">
        <v>1685</v>
      </c>
      <c r="F164" s="62" t="s">
        <v>2575</v>
      </c>
      <c r="G164" s="62" t="s">
        <v>2575</v>
      </c>
      <c r="H164" s="61" t="s">
        <v>2575</v>
      </c>
      <c r="I164" s="61" t="s">
        <v>2575</v>
      </c>
      <c r="J164" s="61" t="s">
        <v>1686</v>
      </c>
      <c r="K164" s="61" t="s">
        <v>1687</v>
      </c>
      <c r="L164" s="263" t="s">
        <v>1677</v>
      </c>
    </row>
    <row r="165" spans="2:12" ht="24" x14ac:dyDescent="0.3">
      <c r="B165" s="262">
        <v>161</v>
      </c>
      <c r="C165" s="60" t="s">
        <v>1688</v>
      </c>
      <c r="D165" s="61" t="s">
        <v>1689</v>
      </c>
      <c r="E165" s="62" t="s">
        <v>1690</v>
      </c>
      <c r="F165" s="62" t="s">
        <v>2575</v>
      </c>
      <c r="G165" s="62" t="s">
        <v>2575</v>
      </c>
      <c r="H165" s="61" t="s">
        <v>2575</v>
      </c>
      <c r="I165" s="61" t="s">
        <v>2575</v>
      </c>
      <c r="J165" s="61" t="s">
        <v>493</v>
      </c>
      <c r="K165" s="61" t="s">
        <v>494</v>
      </c>
      <c r="L165" s="263" t="s">
        <v>1682</v>
      </c>
    </row>
    <row r="166" spans="2:12" ht="24" x14ac:dyDescent="0.3">
      <c r="B166" s="262">
        <v>162</v>
      </c>
      <c r="C166" s="60" t="s">
        <v>1691</v>
      </c>
      <c r="D166" s="61" t="s">
        <v>1692</v>
      </c>
      <c r="E166" s="62" t="s">
        <v>1693</v>
      </c>
      <c r="F166" s="62" t="s">
        <v>2575</v>
      </c>
      <c r="G166" s="62" t="s">
        <v>2575</v>
      </c>
      <c r="H166" s="61" t="s">
        <v>2575</v>
      </c>
      <c r="I166" s="61" t="s">
        <v>2575</v>
      </c>
      <c r="J166" s="61" t="s">
        <v>1694</v>
      </c>
      <c r="K166" s="61" t="s">
        <v>1695</v>
      </c>
      <c r="L166" s="263" t="s">
        <v>1696</v>
      </c>
    </row>
    <row r="167" spans="2:12" ht="24" x14ac:dyDescent="0.3">
      <c r="B167" s="262">
        <v>163</v>
      </c>
      <c r="C167" s="60" t="s">
        <v>1697</v>
      </c>
      <c r="D167" s="61" t="s">
        <v>1698</v>
      </c>
      <c r="E167" s="62" t="s">
        <v>1690</v>
      </c>
      <c r="F167" s="62" t="s">
        <v>2575</v>
      </c>
      <c r="G167" s="62" t="s">
        <v>2575</v>
      </c>
      <c r="H167" s="61" t="s">
        <v>2575</v>
      </c>
      <c r="I167" s="61" t="s">
        <v>2575</v>
      </c>
      <c r="J167" s="61" t="s">
        <v>1699</v>
      </c>
      <c r="K167" s="61" t="s">
        <v>494</v>
      </c>
      <c r="L167" s="263" t="s">
        <v>506</v>
      </c>
    </row>
    <row r="168" spans="2:12" ht="24" x14ac:dyDescent="0.3">
      <c r="B168" s="262">
        <v>164</v>
      </c>
      <c r="C168" s="60" t="s">
        <v>1700</v>
      </c>
      <c r="D168" s="61" t="s">
        <v>1701</v>
      </c>
      <c r="E168" s="62" t="s">
        <v>1702</v>
      </c>
      <c r="F168" s="62" t="s">
        <v>2575</v>
      </c>
      <c r="G168" s="62" t="s">
        <v>2575</v>
      </c>
      <c r="H168" s="62" t="s">
        <v>2575</v>
      </c>
      <c r="I168" s="62" t="s">
        <v>2575</v>
      </c>
      <c r="J168" s="62" t="s">
        <v>537</v>
      </c>
      <c r="K168" s="62" t="s">
        <v>494</v>
      </c>
      <c r="L168" s="264" t="s">
        <v>506</v>
      </c>
    </row>
    <row r="169" spans="2:12" ht="24" x14ac:dyDescent="0.3">
      <c r="B169" s="262">
        <v>165</v>
      </c>
      <c r="C169" s="60" t="s">
        <v>1703</v>
      </c>
      <c r="D169" s="61" t="s">
        <v>1704</v>
      </c>
      <c r="E169" s="62" t="s">
        <v>1705</v>
      </c>
      <c r="F169" s="62" t="s">
        <v>2575</v>
      </c>
      <c r="G169" s="62" t="s">
        <v>2575</v>
      </c>
      <c r="H169" s="61" t="s">
        <v>2575</v>
      </c>
      <c r="I169" s="61" t="s">
        <v>2575</v>
      </c>
      <c r="J169" s="61" t="s">
        <v>1706</v>
      </c>
      <c r="K169" s="61" t="s">
        <v>482</v>
      </c>
      <c r="L169" s="263" t="s">
        <v>506</v>
      </c>
    </row>
    <row r="170" spans="2:12" ht="24" x14ac:dyDescent="0.3">
      <c r="B170" s="262">
        <v>166</v>
      </c>
      <c r="C170" s="60" t="s">
        <v>1707</v>
      </c>
      <c r="D170" s="61" t="s">
        <v>1708</v>
      </c>
      <c r="E170" s="62" t="s">
        <v>1702</v>
      </c>
      <c r="F170" s="62" t="s">
        <v>2575</v>
      </c>
      <c r="G170" s="62" t="s">
        <v>2575</v>
      </c>
      <c r="H170" s="61" t="s">
        <v>2575</v>
      </c>
      <c r="I170" s="61" t="s">
        <v>2575</v>
      </c>
      <c r="J170" s="61" t="s">
        <v>1681</v>
      </c>
      <c r="K170" s="61" t="s">
        <v>494</v>
      </c>
      <c r="L170" s="263" t="s">
        <v>506</v>
      </c>
    </row>
    <row r="171" spans="2:12" ht="24" x14ac:dyDescent="0.3">
      <c r="B171" s="262">
        <v>167</v>
      </c>
      <c r="C171" s="60" t="s">
        <v>1709</v>
      </c>
      <c r="D171" s="61" t="s">
        <v>1710</v>
      </c>
      <c r="E171" s="62" t="s">
        <v>1705</v>
      </c>
      <c r="F171" s="62" t="s">
        <v>2575</v>
      </c>
      <c r="G171" s="62" t="s">
        <v>2575</v>
      </c>
      <c r="H171" s="61" t="s">
        <v>2575</v>
      </c>
      <c r="I171" s="61" t="s">
        <v>2575</v>
      </c>
      <c r="J171" s="62" t="s">
        <v>1681</v>
      </c>
      <c r="K171" s="62" t="s">
        <v>1711</v>
      </c>
      <c r="L171" s="264" t="s">
        <v>1696</v>
      </c>
    </row>
    <row r="172" spans="2:12" ht="24" x14ac:dyDescent="0.3">
      <c r="B172" s="262">
        <v>168</v>
      </c>
      <c r="C172" s="60" t="s">
        <v>1712</v>
      </c>
      <c r="D172" s="61" t="s">
        <v>1713</v>
      </c>
      <c r="E172" s="62" t="s">
        <v>1690</v>
      </c>
      <c r="F172" s="62" t="s">
        <v>2575</v>
      </c>
      <c r="G172" s="62" t="s">
        <v>2575</v>
      </c>
      <c r="H172" s="61" t="s">
        <v>2575</v>
      </c>
      <c r="I172" s="61" t="s">
        <v>2575</v>
      </c>
      <c r="J172" s="61" t="s">
        <v>1699</v>
      </c>
      <c r="K172" s="61" t="s">
        <v>1714</v>
      </c>
      <c r="L172" s="263" t="s">
        <v>506</v>
      </c>
    </row>
    <row r="173" spans="2:12" ht="24" x14ac:dyDescent="0.3">
      <c r="B173" s="262">
        <v>169</v>
      </c>
      <c r="C173" s="60" t="s">
        <v>1715</v>
      </c>
      <c r="D173" s="61" t="s">
        <v>1717</v>
      </c>
      <c r="E173" s="62" t="s">
        <v>1693</v>
      </c>
      <c r="F173" s="62" t="s">
        <v>2575</v>
      </c>
      <c r="G173" s="62" t="s">
        <v>2575</v>
      </c>
      <c r="H173" s="61" t="s">
        <v>2575</v>
      </c>
      <c r="I173" s="61" t="s">
        <v>2575</v>
      </c>
      <c r="J173" s="61" t="s">
        <v>1718</v>
      </c>
      <c r="K173" s="61" t="s">
        <v>482</v>
      </c>
      <c r="L173" s="263" t="s">
        <v>1696</v>
      </c>
    </row>
    <row r="174" spans="2:12" ht="24" x14ac:dyDescent="0.3">
      <c r="B174" s="262">
        <v>170</v>
      </c>
      <c r="C174" s="60" t="s">
        <v>1719</v>
      </c>
      <c r="D174" s="61" t="s">
        <v>1720</v>
      </c>
      <c r="E174" s="62" t="s">
        <v>1690</v>
      </c>
      <c r="F174" s="62" t="s">
        <v>2575</v>
      </c>
      <c r="G174" s="62" t="s">
        <v>2575</v>
      </c>
      <c r="H174" s="61" t="s">
        <v>2575</v>
      </c>
      <c r="I174" s="61" t="s">
        <v>2575</v>
      </c>
      <c r="J174" s="61" t="s">
        <v>1721</v>
      </c>
      <c r="K174" s="61" t="s">
        <v>494</v>
      </c>
      <c r="L174" s="263" t="s">
        <v>506</v>
      </c>
    </row>
    <row r="175" spans="2:12" ht="24" x14ac:dyDescent="0.3">
      <c r="B175" s="262">
        <v>171</v>
      </c>
      <c r="C175" s="60" t="s">
        <v>1722</v>
      </c>
      <c r="D175" s="61" t="s">
        <v>1723</v>
      </c>
      <c r="E175" s="62" t="s">
        <v>1690</v>
      </c>
      <c r="F175" s="62" t="s">
        <v>2575</v>
      </c>
      <c r="G175" s="62" t="s">
        <v>2575</v>
      </c>
      <c r="H175" s="61" t="s">
        <v>2575</v>
      </c>
      <c r="I175" s="61" t="s">
        <v>2575</v>
      </c>
      <c r="J175" s="61" t="s">
        <v>505</v>
      </c>
      <c r="K175" s="61" t="s">
        <v>494</v>
      </c>
      <c r="L175" s="263" t="s">
        <v>506</v>
      </c>
    </row>
    <row r="176" spans="2:12" ht="24" x14ac:dyDescent="0.3">
      <c r="B176" s="262">
        <v>172</v>
      </c>
      <c r="C176" s="60" t="s">
        <v>1724</v>
      </c>
      <c r="D176" s="61" t="s">
        <v>1725</v>
      </c>
      <c r="E176" s="62" t="s">
        <v>1702</v>
      </c>
      <c r="F176" s="62" t="s">
        <v>2575</v>
      </c>
      <c r="G176" s="62" t="s">
        <v>2575</v>
      </c>
      <c r="H176" s="62" t="s">
        <v>2575</v>
      </c>
      <c r="I176" s="62" t="s">
        <v>2575</v>
      </c>
      <c r="J176" s="62" t="s">
        <v>1681</v>
      </c>
      <c r="K176" s="62" t="s">
        <v>482</v>
      </c>
      <c r="L176" s="264" t="s">
        <v>506</v>
      </c>
    </row>
    <row r="177" spans="2:12" ht="24" x14ac:dyDescent="0.3">
      <c r="B177" s="262">
        <v>173</v>
      </c>
      <c r="C177" s="60" t="s">
        <v>1726</v>
      </c>
      <c r="D177" s="61" t="s">
        <v>1727</v>
      </c>
      <c r="E177" s="62" t="s">
        <v>555</v>
      </c>
      <c r="F177" s="62" t="s">
        <v>2575</v>
      </c>
      <c r="G177" s="62" t="s">
        <v>2575</v>
      </c>
      <c r="H177" s="61" t="s">
        <v>2575</v>
      </c>
      <c r="I177" s="61" t="s">
        <v>2575</v>
      </c>
      <c r="J177" s="61" t="s">
        <v>1718</v>
      </c>
      <c r="K177" s="61" t="s">
        <v>494</v>
      </c>
      <c r="L177" s="263" t="s">
        <v>506</v>
      </c>
    </row>
    <row r="178" spans="2:12" ht="24" x14ac:dyDescent="0.3">
      <c r="B178" s="262">
        <v>174</v>
      </c>
      <c r="C178" s="60" t="s">
        <v>1728</v>
      </c>
      <c r="D178" s="61" t="s">
        <v>1729</v>
      </c>
      <c r="E178" s="62" t="s">
        <v>1690</v>
      </c>
      <c r="F178" s="61" t="s">
        <v>2575</v>
      </c>
      <c r="G178" s="61" t="s">
        <v>2575</v>
      </c>
      <c r="H178" s="61" t="s">
        <v>2575</v>
      </c>
      <c r="I178" s="61" t="s">
        <v>2575</v>
      </c>
      <c r="J178" s="61" t="s">
        <v>1681</v>
      </c>
      <c r="K178" s="61" t="s">
        <v>494</v>
      </c>
      <c r="L178" s="263" t="s">
        <v>576</v>
      </c>
    </row>
    <row r="179" spans="2:12" ht="24" x14ac:dyDescent="0.3">
      <c r="B179" s="262">
        <v>175</v>
      </c>
      <c r="C179" s="60" t="s">
        <v>1730</v>
      </c>
      <c r="D179" s="61" t="s">
        <v>1731</v>
      </c>
      <c r="E179" s="62" t="s">
        <v>555</v>
      </c>
      <c r="F179" s="61" t="s">
        <v>2575</v>
      </c>
      <c r="G179" s="61" t="s">
        <v>2575</v>
      </c>
      <c r="H179" s="64" t="s">
        <v>2575</v>
      </c>
      <c r="I179" s="64" t="s">
        <v>2575</v>
      </c>
      <c r="J179" s="61" t="s">
        <v>1681</v>
      </c>
      <c r="K179" s="61" t="s">
        <v>494</v>
      </c>
      <c r="L179" s="263" t="s">
        <v>526</v>
      </c>
    </row>
    <row r="180" spans="2:12" ht="24" x14ac:dyDescent="0.3">
      <c r="B180" s="262">
        <v>176</v>
      </c>
      <c r="C180" s="60" t="s">
        <v>1732</v>
      </c>
      <c r="D180" s="61" t="s">
        <v>1734</v>
      </c>
      <c r="E180" s="62" t="s">
        <v>1693</v>
      </c>
      <c r="F180" s="61" t="s">
        <v>2575</v>
      </c>
      <c r="G180" s="61" t="s">
        <v>2575</v>
      </c>
      <c r="H180" s="64" t="s">
        <v>2575</v>
      </c>
      <c r="I180" s="64" t="s">
        <v>2575</v>
      </c>
      <c r="J180" s="61" t="s">
        <v>1735</v>
      </c>
      <c r="K180" s="61" t="s">
        <v>494</v>
      </c>
      <c r="L180" s="263" t="s">
        <v>1736</v>
      </c>
    </row>
    <row r="181" spans="2:12" ht="24" x14ac:dyDescent="0.3">
      <c r="B181" s="262">
        <v>177</v>
      </c>
      <c r="C181" s="60" t="s">
        <v>1737</v>
      </c>
      <c r="D181" s="61" t="s">
        <v>1739</v>
      </c>
      <c r="E181" s="62" t="s">
        <v>1705</v>
      </c>
      <c r="F181" s="61" t="s">
        <v>2575</v>
      </c>
      <c r="G181" s="61" t="s">
        <v>2575</v>
      </c>
      <c r="H181" s="64" t="s">
        <v>2575</v>
      </c>
      <c r="I181" s="64" t="s">
        <v>2575</v>
      </c>
      <c r="J181" s="61" t="s">
        <v>1706</v>
      </c>
      <c r="K181" s="61" t="s">
        <v>482</v>
      </c>
      <c r="L181" s="263" t="s">
        <v>1740</v>
      </c>
    </row>
    <row r="182" spans="2:12" ht="24" x14ac:dyDescent="0.3">
      <c r="B182" s="262">
        <v>178</v>
      </c>
      <c r="C182" s="59" t="s">
        <v>1741</v>
      </c>
      <c r="D182" s="53" t="s">
        <v>1743</v>
      </c>
      <c r="E182" s="54" t="s">
        <v>1744</v>
      </c>
      <c r="F182" s="54" t="s">
        <v>2575</v>
      </c>
      <c r="G182" s="53" t="s">
        <v>2575</v>
      </c>
      <c r="H182" s="54" t="s">
        <v>2575</v>
      </c>
      <c r="I182" s="54" t="s">
        <v>2575</v>
      </c>
      <c r="J182" s="53" t="s">
        <v>1686</v>
      </c>
      <c r="K182" s="54" t="s">
        <v>482</v>
      </c>
      <c r="L182" s="266" t="s">
        <v>1745</v>
      </c>
    </row>
    <row r="183" spans="2:12" ht="24" x14ac:dyDescent="0.3">
      <c r="B183" s="262">
        <v>179</v>
      </c>
      <c r="C183" s="59" t="s">
        <v>1746</v>
      </c>
      <c r="D183" s="53" t="s">
        <v>1747</v>
      </c>
      <c r="E183" s="54" t="s">
        <v>555</v>
      </c>
      <c r="F183" s="54" t="s">
        <v>2575</v>
      </c>
      <c r="G183" s="54" t="s">
        <v>2575</v>
      </c>
      <c r="H183" s="54" t="s">
        <v>2575</v>
      </c>
      <c r="I183" s="54" t="s">
        <v>2575</v>
      </c>
      <c r="J183" s="54" t="s">
        <v>1735</v>
      </c>
      <c r="K183" s="54" t="s">
        <v>494</v>
      </c>
      <c r="L183" s="266" t="s">
        <v>1748</v>
      </c>
    </row>
    <row r="184" spans="2:12" ht="24" x14ac:dyDescent="0.3">
      <c r="B184" s="262">
        <v>180</v>
      </c>
      <c r="C184" s="59" t="s">
        <v>1749</v>
      </c>
      <c r="D184" s="53" t="s">
        <v>1750</v>
      </c>
      <c r="E184" s="54" t="s">
        <v>1690</v>
      </c>
      <c r="F184" s="54" t="s">
        <v>2575</v>
      </c>
      <c r="G184" s="53" t="s">
        <v>2575</v>
      </c>
      <c r="H184" s="55" t="s">
        <v>2575</v>
      </c>
      <c r="I184" s="55" t="s">
        <v>2575</v>
      </c>
      <c r="J184" s="53" t="s">
        <v>1751</v>
      </c>
      <c r="K184" s="53" t="s">
        <v>494</v>
      </c>
      <c r="L184" s="267" t="s">
        <v>526</v>
      </c>
    </row>
    <row r="185" spans="2:12" ht="12" x14ac:dyDescent="0.3">
      <c r="B185" s="262">
        <v>181</v>
      </c>
      <c r="C185" s="59" t="s">
        <v>1752</v>
      </c>
      <c r="D185" s="53" t="s">
        <v>1753</v>
      </c>
      <c r="E185" s="54" t="s">
        <v>1754</v>
      </c>
      <c r="F185" s="53" t="s">
        <v>2575</v>
      </c>
      <c r="G185" s="53" t="s">
        <v>2575</v>
      </c>
      <c r="H185" s="55" t="s">
        <v>2575</v>
      </c>
      <c r="I185" s="55" t="s">
        <v>2575</v>
      </c>
      <c r="J185" s="53" t="s">
        <v>1374</v>
      </c>
      <c r="K185" s="53" t="s">
        <v>482</v>
      </c>
      <c r="L185" s="267" t="s">
        <v>515</v>
      </c>
    </row>
    <row r="186" spans="2:12" ht="12" x14ac:dyDescent="0.3">
      <c r="B186" s="262">
        <v>182</v>
      </c>
      <c r="C186" s="59" t="s">
        <v>1756</v>
      </c>
      <c r="D186" s="53" t="s">
        <v>1757</v>
      </c>
      <c r="E186" s="54" t="s">
        <v>1758</v>
      </c>
      <c r="F186" s="54" t="s">
        <v>2575</v>
      </c>
      <c r="G186" s="53" t="s">
        <v>2575</v>
      </c>
      <c r="H186" s="55" t="s">
        <v>2575</v>
      </c>
      <c r="I186" s="55" t="s">
        <v>2575</v>
      </c>
      <c r="J186" s="53" t="s">
        <v>1759</v>
      </c>
      <c r="K186" s="53" t="s">
        <v>525</v>
      </c>
      <c r="L186" s="267" t="s">
        <v>526</v>
      </c>
    </row>
    <row r="187" spans="2:12" ht="12" x14ac:dyDescent="0.3">
      <c r="B187" s="262">
        <v>183</v>
      </c>
      <c r="C187" s="59" t="s">
        <v>1760</v>
      </c>
      <c r="D187" s="53" t="s">
        <v>1761</v>
      </c>
      <c r="E187" s="54" t="s">
        <v>542</v>
      </c>
      <c r="F187" s="54" t="s">
        <v>2575</v>
      </c>
      <c r="G187" s="53" t="s">
        <v>2575</v>
      </c>
      <c r="H187" s="55" t="s">
        <v>2575</v>
      </c>
      <c r="I187" s="55" t="s">
        <v>2575</v>
      </c>
      <c r="J187" s="53" t="s">
        <v>1759</v>
      </c>
      <c r="K187" s="53" t="s">
        <v>525</v>
      </c>
      <c r="L187" s="267" t="s">
        <v>1477</v>
      </c>
    </row>
    <row r="188" spans="2:12" ht="12" x14ac:dyDescent="0.3">
      <c r="B188" s="262">
        <v>184</v>
      </c>
      <c r="C188" s="59" t="s">
        <v>1762</v>
      </c>
      <c r="D188" s="53" t="s">
        <v>1763</v>
      </c>
      <c r="E188" s="54" t="s">
        <v>521</v>
      </c>
      <c r="F188" s="54" t="s">
        <v>2575</v>
      </c>
      <c r="G188" s="54" t="s">
        <v>2575</v>
      </c>
      <c r="H188" s="54" t="s">
        <v>2575</v>
      </c>
      <c r="I188" s="54" t="s">
        <v>2575</v>
      </c>
      <c r="J188" s="54" t="s">
        <v>537</v>
      </c>
      <c r="K188" s="54" t="s">
        <v>514</v>
      </c>
      <c r="L188" s="266" t="s">
        <v>526</v>
      </c>
    </row>
    <row r="189" spans="2:12" ht="24" x14ac:dyDescent="0.3">
      <c r="B189" s="262">
        <v>185</v>
      </c>
      <c r="C189" s="59" t="s">
        <v>1764</v>
      </c>
      <c r="D189" s="53" t="s">
        <v>1765</v>
      </c>
      <c r="E189" s="54" t="s">
        <v>563</v>
      </c>
      <c r="F189" s="53" t="s">
        <v>2575</v>
      </c>
      <c r="G189" s="53" t="s">
        <v>2575</v>
      </c>
      <c r="H189" s="55" t="s">
        <v>2575</v>
      </c>
      <c r="I189" s="55" t="s">
        <v>2575</v>
      </c>
      <c r="J189" s="53" t="s">
        <v>537</v>
      </c>
      <c r="K189" s="53" t="s">
        <v>525</v>
      </c>
      <c r="L189" s="267" t="s">
        <v>1477</v>
      </c>
    </row>
    <row r="190" spans="2:12" ht="24" x14ac:dyDescent="0.3">
      <c r="B190" s="262">
        <v>186</v>
      </c>
      <c r="C190" s="59" t="s">
        <v>1766</v>
      </c>
      <c r="D190" s="53" t="s">
        <v>1768</v>
      </c>
      <c r="E190" s="54" t="s">
        <v>555</v>
      </c>
      <c r="F190" s="53" t="s">
        <v>2575</v>
      </c>
      <c r="G190" s="53" t="s">
        <v>2575</v>
      </c>
      <c r="H190" s="55" t="s">
        <v>2575</v>
      </c>
      <c r="I190" s="55" t="s">
        <v>2575</v>
      </c>
      <c r="J190" s="53" t="s">
        <v>537</v>
      </c>
      <c r="K190" s="53" t="s">
        <v>494</v>
      </c>
      <c r="L190" s="267" t="s">
        <v>1677</v>
      </c>
    </row>
    <row r="191" spans="2:12" ht="24" x14ac:dyDescent="0.3">
      <c r="B191" s="262">
        <v>187</v>
      </c>
      <c r="C191" s="59" t="s">
        <v>1769</v>
      </c>
      <c r="D191" s="53" t="s">
        <v>1771</v>
      </c>
      <c r="E191" s="54" t="s">
        <v>555</v>
      </c>
      <c r="F191" s="54" t="s">
        <v>2575</v>
      </c>
      <c r="G191" s="54" t="s">
        <v>2575</v>
      </c>
      <c r="H191" s="54" t="s">
        <v>2575</v>
      </c>
      <c r="I191" s="54" t="s">
        <v>2575</v>
      </c>
      <c r="J191" s="54" t="s">
        <v>1699</v>
      </c>
      <c r="K191" s="54" t="s">
        <v>494</v>
      </c>
      <c r="L191" s="268" t="s">
        <v>1736</v>
      </c>
    </row>
    <row r="192" spans="2:12" ht="24" x14ac:dyDescent="0.3">
      <c r="B192" s="262">
        <v>188</v>
      </c>
      <c r="C192" s="59" t="s">
        <v>1772</v>
      </c>
      <c r="D192" s="53" t="s">
        <v>1773</v>
      </c>
      <c r="E192" s="54" t="s">
        <v>555</v>
      </c>
      <c r="F192" s="53" t="s">
        <v>2575</v>
      </c>
      <c r="G192" s="53" t="s">
        <v>2575</v>
      </c>
      <c r="H192" s="55" t="s">
        <v>2575</v>
      </c>
      <c r="I192" s="55" t="s">
        <v>2575</v>
      </c>
      <c r="J192" s="53" t="s">
        <v>524</v>
      </c>
      <c r="K192" s="53" t="s">
        <v>494</v>
      </c>
      <c r="L192" s="267" t="s">
        <v>1677</v>
      </c>
    </row>
    <row r="193" spans="2:12" ht="12" x14ac:dyDescent="0.3">
      <c r="B193" s="262">
        <v>189</v>
      </c>
      <c r="C193" s="59" t="s">
        <v>1774</v>
      </c>
      <c r="D193" s="53" t="s">
        <v>1776</v>
      </c>
      <c r="E193" s="54" t="s">
        <v>1777</v>
      </c>
      <c r="F193" s="53" t="s">
        <v>2575</v>
      </c>
      <c r="G193" s="53" t="s">
        <v>2575</v>
      </c>
      <c r="H193" s="55" t="s">
        <v>2575</v>
      </c>
      <c r="I193" s="55" t="s">
        <v>2575</v>
      </c>
      <c r="J193" s="53" t="s">
        <v>1681</v>
      </c>
      <c r="K193" s="53" t="s">
        <v>494</v>
      </c>
      <c r="L193" s="267" t="s">
        <v>506</v>
      </c>
    </row>
    <row r="194" spans="2:12" ht="24" x14ac:dyDescent="0.3">
      <c r="B194" s="262">
        <v>190</v>
      </c>
      <c r="C194" s="59" t="s">
        <v>1778</v>
      </c>
      <c r="D194" s="53" t="s">
        <v>1780</v>
      </c>
      <c r="E194" s="54" t="s">
        <v>555</v>
      </c>
      <c r="F194" s="53" t="s">
        <v>2575</v>
      </c>
      <c r="G194" s="53" t="s">
        <v>2575</v>
      </c>
      <c r="H194" s="55" t="s">
        <v>2575</v>
      </c>
      <c r="I194" s="55" t="s">
        <v>2575</v>
      </c>
      <c r="J194" s="53" t="s">
        <v>1482</v>
      </c>
      <c r="K194" s="53" t="s">
        <v>525</v>
      </c>
      <c r="L194" s="267" t="s">
        <v>506</v>
      </c>
    </row>
    <row r="195" spans="2:12" ht="24" x14ac:dyDescent="0.3">
      <c r="B195" s="262">
        <v>191</v>
      </c>
      <c r="C195" s="59" t="s">
        <v>1781</v>
      </c>
      <c r="D195" s="53" t="s">
        <v>1782</v>
      </c>
      <c r="E195" s="54" t="s">
        <v>555</v>
      </c>
      <c r="F195" s="54" t="s">
        <v>2575</v>
      </c>
      <c r="G195" s="53" t="s">
        <v>2575</v>
      </c>
      <c r="H195" s="55" t="s">
        <v>2575</v>
      </c>
      <c r="I195" s="55" t="s">
        <v>2575</v>
      </c>
      <c r="J195" s="53" t="s">
        <v>1681</v>
      </c>
      <c r="K195" s="53" t="s">
        <v>494</v>
      </c>
      <c r="L195" s="267" t="s">
        <v>506</v>
      </c>
    </row>
    <row r="196" spans="2:12" ht="12" x14ac:dyDescent="0.3">
      <c r="B196" s="262">
        <v>192</v>
      </c>
      <c r="C196" s="59" t="s">
        <v>1783</v>
      </c>
      <c r="D196" s="53" t="s">
        <v>1785</v>
      </c>
      <c r="E196" s="54" t="s">
        <v>1786</v>
      </c>
      <c r="F196" s="53" t="s">
        <v>2575</v>
      </c>
      <c r="G196" s="53" t="s">
        <v>2575</v>
      </c>
      <c r="H196" s="55" t="s">
        <v>2575</v>
      </c>
      <c r="I196" s="55" t="s">
        <v>2575</v>
      </c>
      <c r="J196" s="53" t="s">
        <v>524</v>
      </c>
      <c r="K196" s="53" t="s">
        <v>494</v>
      </c>
      <c r="L196" s="267" t="s">
        <v>506</v>
      </c>
    </row>
    <row r="197" spans="2:12" ht="12" x14ac:dyDescent="0.3">
      <c r="B197" s="262">
        <v>193</v>
      </c>
      <c r="C197" s="59" t="s">
        <v>1787</v>
      </c>
      <c r="D197" s="53" t="s">
        <v>1789</v>
      </c>
      <c r="E197" s="54" t="s">
        <v>1790</v>
      </c>
      <c r="F197" s="53" t="s">
        <v>2575</v>
      </c>
      <c r="G197" s="53" t="s">
        <v>2575</v>
      </c>
      <c r="H197" s="55" t="s">
        <v>2575</v>
      </c>
      <c r="I197" s="55" t="s">
        <v>2575</v>
      </c>
      <c r="J197" s="53" t="s">
        <v>1681</v>
      </c>
      <c r="K197" s="53" t="s">
        <v>494</v>
      </c>
      <c r="L197" s="267" t="s">
        <v>506</v>
      </c>
    </row>
    <row r="198" spans="2:12" ht="24" x14ac:dyDescent="0.3">
      <c r="B198" s="262">
        <v>194</v>
      </c>
      <c r="C198" s="59" t="s">
        <v>1791</v>
      </c>
      <c r="D198" s="53" t="s">
        <v>1793</v>
      </c>
      <c r="E198" s="54" t="s">
        <v>555</v>
      </c>
      <c r="F198" s="54" t="s">
        <v>2575</v>
      </c>
      <c r="G198" s="53" t="s">
        <v>2575</v>
      </c>
      <c r="H198" s="55" t="s">
        <v>2575</v>
      </c>
      <c r="I198" s="55" t="s">
        <v>2575</v>
      </c>
      <c r="J198" s="53" t="s">
        <v>537</v>
      </c>
      <c r="K198" s="53" t="s">
        <v>494</v>
      </c>
      <c r="L198" s="267" t="s">
        <v>526</v>
      </c>
    </row>
    <row r="199" spans="2:12" ht="12" x14ac:dyDescent="0.3">
      <c r="B199" s="262">
        <v>195</v>
      </c>
      <c r="C199" s="59" t="s">
        <v>1794</v>
      </c>
      <c r="D199" s="53" t="s">
        <v>1795</v>
      </c>
      <c r="E199" s="54" t="s">
        <v>542</v>
      </c>
      <c r="F199" s="54" t="s">
        <v>2575</v>
      </c>
      <c r="G199" s="53" t="s">
        <v>2575</v>
      </c>
      <c r="H199" s="55" t="s">
        <v>2575</v>
      </c>
      <c r="I199" s="55" t="s">
        <v>2575</v>
      </c>
      <c r="J199" s="53" t="s">
        <v>524</v>
      </c>
      <c r="K199" s="53" t="s">
        <v>525</v>
      </c>
      <c r="L199" s="267" t="s">
        <v>1477</v>
      </c>
    </row>
    <row r="200" spans="2:12" ht="12" x14ac:dyDescent="0.3">
      <c r="B200" s="262">
        <v>196</v>
      </c>
      <c r="C200" s="59" t="s">
        <v>1796</v>
      </c>
      <c r="D200" s="53" t="s">
        <v>1797</v>
      </c>
      <c r="E200" s="54" t="s">
        <v>542</v>
      </c>
      <c r="F200" s="54" t="s">
        <v>2575</v>
      </c>
      <c r="G200" s="53" t="s">
        <v>2575</v>
      </c>
      <c r="H200" s="55" t="s">
        <v>2575</v>
      </c>
      <c r="I200" s="55" t="s">
        <v>2575</v>
      </c>
      <c r="J200" s="53" t="s">
        <v>1759</v>
      </c>
      <c r="K200" s="53" t="s">
        <v>525</v>
      </c>
      <c r="L200" s="267" t="s">
        <v>1477</v>
      </c>
    </row>
    <row r="201" spans="2:12" ht="12" x14ac:dyDescent="0.3">
      <c r="B201" s="262">
        <v>197</v>
      </c>
      <c r="C201" s="59" t="s">
        <v>1798</v>
      </c>
      <c r="D201" s="53" t="s">
        <v>1799</v>
      </c>
      <c r="E201" s="54" t="s">
        <v>542</v>
      </c>
      <c r="F201" s="54" t="s">
        <v>2575</v>
      </c>
      <c r="G201" s="53" t="s">
        <v>2575</v>
      </c>
      <c r="H201" s="55" t="s">
        <v>2575</v>
      </c>
      <c r="I201" s="55" t="s">
        <v>2575</v>
      </c>
      <c r="J201" s="53" t="s">
        <v>524</v>
      </c>
      <c r="K201" s="53" t="s">
        <v>525</v>
      </c>
      <c r="L201" s="267" t="s">
        <v>1477</v>
      </c>
    </row>
    <row r="202" spans="2:12" ht="12" x14ac:dyDescent="0.3">
      <c r="B202" s="262">
        <v>198</v>
      </c>
      <c r="C202" s="59" t="s">
        <v>1800</v>
      </c>
      <c r="D202" s="53" t="s">
        <v>1801</v>
      </c>
      <c r="E202" s="54" t="s">
        <v>579</v>
      </c>
      <c r="F202" s="54" t="s">
        <v>2575</v>
      </c>
      <c r="G202" s="53" t="s">
        <v>2575</v>
      </c>
      <c r="H202" s="55" t="s">
        <v>2575</v>
      </c>
      <c r="I202" s="55" t="s">
        <v>2575</v>
      </c>
      <c r="J202" s="53" t="s">
        <v>524</v>
      </c>
      <c r="K202" s="53" t="s">
        <v>525</v>
      </c>
      <c r="L202" s="267" t="s">
        <v>526</v>
      </c>
    </row>
    <row r="203" spans="2:12" ht="12" x14ac:dyDescent="0.3">
      <c r="B203" s="262">
        <v>199</v>
      </c>
      <c r="C203" s="59" t="s">
        <v>1802</v>
      </c>
      <c r="D203" s="53" t="s">
        <v>1803</v>
      </c>
      <c r="E203" s="54" t="s">
        <v>579</v>
      </c>
      <c r="F203" s="54" t="s">
        <v>2575</v>
      </c>
      <c r="G203" s="53" t="s">
        <v>2575</v>
      </c>
      <c r="H203" s="54" t="s">
        <v>2575</v>
      </c>
      <c r="I203" s="57" t="s">
        <v>2575</v>
      </c>
      <c r="J203" s="54" t="s">
        <v>537</v>
      </c>
      <c r="K203" s="54" t="s">
        <v>525</v>
      </c>
      <c r="L203" s="268" t="s">
        <v>591</v>
      </c>
    </row>
    <row r="204" spans="2:12" ht="24" x14ac:dyDescent="0.3">
      <c r="B204" s="262">
        <v>200</v>
      </c>
      <c r="C204" s="59" t="s">
        <v>1804</v>
      </c>
      <c r="D204" s="53" t="s">
        <v>1805</v>
      </c>
      <c r="E204" s="54" t="s">
        <v>603</v>
      </c>
      <c r="F204" s="54" t="s">
        <v>2575</v>
      </c>
      <c r="G204" s="53" t="s">
        <v>2575</v>
      </c>
      <c r="H204" s="55" t="s">
        <v>2575</v>
      </c>
      <c r="I204" s="55" t="s">
        <v>2575</v>
      </c>
      <c r="J204" s="53" t="s">
        <v>1718</v>
      </c>
      <c r="K204" s="53" t="s">
        <v>525</v>
      </c>
      <c r="L204" s="267" t="s">
        <v>591</v>
      </c>
    </row>
    <row r="205" spans="2:12" ht="24" x14ac:dyDescent="0.3">
      <c r="B205" s="262">
        <v>201</v>
      </c>
      <c r="C205" s="59" t="s">
        <v>1806</v>
      </c>
      <c r="D205" s="53" t="s">
        <v>1807</v>
      </c>
      <c r="E205" s="54" t="s">
        <v>1808</v>
      </c>
      <c r="F205" s="53" t="s">
        <v>2575</v>
      </c>
      <c r="G205" s="53" t="s">
        <v>2575</v>
      </c>
      <c r="H205" s="55" t="s">
        <v>2575</v>
      </c>
      <c r="I205" s="55" t="s">
        <v>2575</v>
      </c>
      <c r="J205" s="53" t="s">
        <v>1809</v>
      </c>
      <c r="K205" s="53" t="s">
        <v>1810</v>
      </c>
      <c r="L205" s="267" t="s">
        <v>576</v>
      </c>
    </row>
    <row r="206" spans="2:12" ht="24" x14ac:dyDescent="0.3">
      <c r="B206" s="262">
        <v>202</v>
      </c>
      <c r="C206" s="59" t="s">
        <v>1811</v>
      </c>
      <c r="D206" s="53" t="s">
        <v>1807</v>
      </c>
      <c r="E206" s="54" t="s">
        <v>1808</v>
      </c>
      <c r="F206" s="53" t="s">
        <v>2575</v>
      </c>
      <c r="G206" s="53" t="s">
        <v>2575</v>
      </c>
      <c r="H206" s="55" t="s">
        <v>2575</v>
      </c>
      <c r="I206" s="55" t="s">
        <v>2575</v>
      </c>
      <c r="J206" s="53" t="s">
        <v>1809</v>
      </c>
      <c r="K206" s="53" t="s">
        <v>1810</v>
      </c>
      <c r="L206" s="267" t="s">
        <v>576</v>
      </c>
    </row>
    <row r="207" spans="2:12" ht="24" x14ac:dyDescent="0.3">
      <c r="B207" s="262">
        <v>203</v>
      </c>
      <c r="C207" s="59" t="s">
        <v>1812</v>
      </c>
      <c r="D207" s="53" t="s">
        <v>1813</v>
      </c>
      <c r="E207" s="54" t="s">
        <v>1814</v>
      </c>
      <c r="F207" s="54" t="s">
        <v>2575</v>
      </c>
      <c r="G207" s="53" t="s">
        <v>2575</v>
      </c>
      <c r="H207" s="55" t="s">
        <v>2575</v>
      </c>
      <c r="I207" s="55" t="s">
        <v>2575</v>
      </c>
      <c r="J207" s="53" t="s">
        <v>537</v>
      </c>
      <c r="K207" s="53" t="s">
        <v>494</v>
      </c>
      <c r="L207" s="267" t="s">
        <v>576</v>
      </c>
    </row>
    <row r="208" spans="2:12" ht="24" x14ac:dyDescent="0.3">
      <c r="B208" s="262">
        <v>204</v>
      </c>
      <c r="C208" s="59" t="s">
        <v>1815</v>
      </c>
      <c r="D208" s="53" t="s">
        <v>1816</v>
      </c>
      <c r="E208" s="54" t="s">
        <v>955</v>
      </c>
      <c r="F208" s="54" t="s">
        <v>2575</v>
      </c>
      <c r="G208" s="53" t="s">
        <v>2575</v>
      </c>
      <c r="H208" s="55" t="s">
        <v>2575</v>
      </c>
      <c r="I208" s="55" t="s">
        <v>2575</v>
      </c>
      <c r="J208" s="53" t="s">
        <v>1817</v>
      </c>
      <c r="K208" s="53" t="s">
        <v>494</v>
      </c>
      <c r="L208" s="267" t="s">
        <v>526</v>
      </c>
    </row>
    <row r="209" spans="2:12" ht="24" x14ac:dyDescent="0.3">
      <c r="B209" s="262">
        <v>205</v>
      </c>
      <c r="C209" s="59" t="s">
        <v>1818</v>
      </c>
      <c r="D209" s="53" t="s">
        <v>1819</v>
      </c>
      <c r="E209" s="54" t="s">
        <v>955</v>
      </c>
      <c r="F209" s="54" t="s">
        <v>2575</v>
      </c>
      <c r="G209" s="53" t="s">
        <v>2575</v>
      </c>
      <c r="H209" s="55" t="s">
        <v>2575</v>
      </c>
      <c r="I209" s="55" t="s">
        <v>2575</v>
      </c>
      <c r="J209" s="53" t="s">
        <v>1817</v>
      </c>
      <c r="K209" s="53" t="s">
        <v>494</v>
      </c>
      <c r="L209" s="267" t="s">
        <v>526</v>
      </c>
    </row>
    <row r="210" spans="2:12" ht="24" x14ac:dyDescent="0.3">
      <c r="B210" s="262">
        <v>206</v>
      </c>
      <c r="C210" s="59" t="s">
        <v>1820</v>
      </c>
      <c r="D210" s="53" t="s">
        <v>1821</v>
      </c>
      <c r="E210" s="54" t="s">
        <v>603</v>
      </c>
      <c r="F210" s="54" t="s">
        <v>2575</v>
      </c>
      <c r="G210" s="53" t="s">
        <v>2575</v>
      </c>
      <c r="H210" s="55" t="s">
        <v>2575</v>
      </c>
      <c r="I210" s="55" t="s">
        <v>2575</v>
      </c>
      <c r="J210" s="53" t="s">
        <v>524</v>
      </c>
      <c r="K210" s="53" t="s">
        <v>525</v>
      </c>
      <c r="L210" s="267" t="s">
        <v>1477</v>
      </c>
    </row>
    <row r="211" spans="2:12" ht="24" x14ac:dyDescent="0.3">
      <c r="B211" s="262">
        <v>207</v>
      </c>
      <c r="C211" s="59" t="s">
        <v>1822</v>
      </c>
      <c r="D211" s="53" t="s">
        <v>1823</v>
      </c>
      <c r="E211" s="54" t="s">
        <v>603</v>
      </c>
      <c r="F211" s="54" t="s">
        <v>2575</v>
      </c>
      <c r="G211" s="54" t="s">
        <v>2575</v>
      </c>
      <c r="H211" s="54" t="s">
        <v>2575</v>
      </c>
      <c r="I211" s="58" t="s">
        <v>2575</v>
      </c>
      <c r="J211" s="54" t="s">
        <v>524</v>
      </c>
      <c r="K211" s="54" t="s">
        <v>525</v>
      </c>
      <c r="L211" s="268" t="s">
        <v>591</v>
      </c>
    </row>
    <row r="212" spans="2:12" ht="24" x14ac:dyDescent="0.3">
      <c r="B212" s="262">
        <v>208</v>
      </c>
      <c r="C212" s="59" t="s">
        <v>1824</v>
      </c>
      <c r="D212" s="53" t="s">
        <v>1825</v>
      </c>
      <c r="E212" s="54" t="s">
        <v>612</v>
      </c>
      <c r="F212" s="54" t="s">
        <v>2575</v>
      </c>
      <c r="G212" s="53" t="s">
        <v>2575</v>
      </c>
      <c r="H212" s="55" t="s">
        <v>2575</v>
      </c>
      <c r="I212" s="55" t="s">
        <v>2575</v>
      </c>
      <c r="J212" s="53" t="s">
        <v>524</v>
      </c>
      <c r="K212" s="53" t="s">
        <v>643</v>
      </c>
      <c r="L212" s="267" t="s">
        <v>591</v>
      </c>
    </row>
    <row r="213" spans="2:12" ht="24" x14ac:dyDescent="0.3">
      <c r="B213" s="262">
        <v>209</v>
      </c>
      <c r="C213" s="59" t="s">
        <v>1826</v>
      </c>
      <c r="D213" s="53" t="s">
        <v>1827</v>
      </c>
      <c r="E213" s="54" t="s">
        <v>612</v>
      </c>
      <c r="F213" s="54" t="s">
        <v>2575</v>
      </c>
      <c r="G213" s="53" t="s">
        <v>2575</v>
      </c>
      <c r="H213" s="55" t="s">
        <v>2575</v>
      </c>
      <c r="I213" s="55" t="s">
        <v>2575</v>
      </c>
      <c r="J213" s="53" t="s">
        <v>524</v>
      </c>
      <c r="K213" s="53" t="s">
        <v>643</v>
      </c>
      <c r="L213" s="267" t="s">
        <v>591</v>
      </c>
    </row>
    <row r="214" spans="2:12" ht="12" x14ac:dyDescent="0.3">
      <c r="B214" s="262">
        <v>210</v>
      </c>
      <c r="C214" s="59" t="s">
        <v>1828</v>
      </c>
      <c r="D214" s="53" t="s">
        <v>1829</v>
      </c>
      <c r="E214" s="54" t="s">
        <v>634</v>
      </c>
      <c r="F214" s="54" t="s">
        <v>2575</v>
      </c>
      <c r="G214" s="53" t="s">
        <v>2575</v>
      </c>
      <c r="H214" s="55" t="s">
        <v>2575</v>
      </c>
      <c r="I214" s="55" t="s">
        <v>2575</v>
      </c>
      <c r="J214" s="53" t="s">
        <v>1397</v>
      </c>
      <c r="K214" s="53" t="s">
        <v>638</v>
      </c>
      <c r="L214" s="267" t="s">
        <v>1473</v>
      </c>
    </row>
    <row r="215" spans="2:12" ht="12" x14ac:dyDescent="0.3">
      <c r="B215" s="262">
        <v>211</v>
      </c>
      <c r="C215" s="59" t="s">
        <v>1830</v>
      </c>
      <c r="D215" s="53" t="s">
        <v>1831</v>
      </c>
      <c r="E215" s="54" t="s">
        <v>634</v>
      </c>
      <c r="F215" s="54" t="s">
        <v>2575</v>
      </c>
      <c r="G215" s="53" t="s">
        <v>2575</v>
      </c>
      <c r="H215" s="55" t="s">
        <v>2575</v>
      </c>
      <c r="I215" s="55" t="s">
        <v>2575</v>
      </c>
      <c r="J215" s="53" t="s">
        <v>995</v>
      </c>
      <c r="K215" s="53" t="s">
        <v>638</v>
      </c>
      <c r="L215" s="267" t="s">
        <v>1473</v>
      </c>
    </row>
    <row r="216" spans="2:12" ht="12" x14ac:dyDescent="0.3">
      <c r="B216" s="262">
        <v>212</v>
      </c>
      <c r="C216" s="59" t="s">
        <v>1832</v>
      </c>
      <c r="D216" s="53" t="s">
        <v>1833</v>
      </c>
      <c r="E216" s="54" t="s">
        <v>634</v>
      </c>
      <c r="F216" s="54" t="s">
        <v>2575</v>
      </c>
      <c r="G216" s="53" t="s">
        <v>2575</v>
      </c>
      <c r="H216" s="55" t="s">
        <v>2575</v>
      </c>
      <c r="I216" s="55" t="s">
        <v>2575</v>
      </c>
      <c r="J216" s="53" t="s">
        <v>995</v>
      </c>
      <c r="K216" s="53" t="s">
        <v>2576</v>
      </c>
      <c r="L216" s="267" t="s">
        <v>1473</v>
      </c>
    </row>
    <row r="217" spans="2:12" ht="12" x14ac:dyDescent="0.3">
      <c r="B217" s="262">
        <v>213</v>
      </c>
      <c r="C217" s="59" t="s">
        <v>1835</v>
      </c>
      <c r="D217" s="53" t="s">
        <v>1836</v>
      </c>
      <c r="E217" s="54" t="s">
        <v>634</v>
      </c>
      <c r="F217" s="54" t="s">
        <v>2575</v>
      </c>
      <c r="G217" s="53" t="s">
        <v>2575</v>
      </c>
      <c r="H217" s="55" t="s">
        <v>2575</v>
      </c>
      <c r="I217" s="55" t="s">
        <v>2575</v>
      </c>
      <c r="J217" s="53" t="s">
        <v>1490</v>
      </c>
      <c r="K217" s="53" t="s">
        <v>638</v>
      </c>
      <c r="L217" s="267" t="s">
        <v>1473</v>
      </c>
    </row>
    <row r="218" spans="2:12" ht="12" x14ac:dyDescent="0.3">
      <c r="B218" s="262">
        <v>214</v>
      </c>
      <c r="C218" s="59" t="s">
        <v>1837</v>
      </c>
      <c r="D218" s="53" t="s">
        <v>1836</v>
      </c>
      <c r="E218" s="54" t="s">
        <v>634</v>
      </c>
      <c r="F218" s="54" t="s">
        <v>2575</v>
      </c>
      <c r="G218" s="53" t="s">
        <v>2575</v>
      </c>
      <c r="H218" s="55" t="s">
        <v>2575</v>
      </c>
      <c r="I218" s="55" t="s">
        <v>2575</v>
      </c>
      <c r="J218" s="53" t="s">
        <v>1490</v>
      </c>
      <c r="K218" s="53" t="s">
        <v>638</v>
      </c>
      <c r="L218" s="267" t="s">
        <v>1473</v>
      </c>
    </row>
    <row r="219" spans="2:12" ht="24" x14ac:dyDescent="0.3">
      <c r="B219" s="262">
        <v>215</v>
      </c>
      <c r="C219" s="59" t="s">
        <v>1838</v>
      </c>
      <c r="D219" s="53" t="s">
        <v>1839</v>
      </c>
      <c r="E219" s="54" t="s">
        <v>1481</v>
      </c>
      <c r="F219" s="54" t="s">
        <v>2575</v>
      </c>
      <c r="G219" s="53" t="s">
        <v>2575</v>
      </c>
      <c r="H219" s="55" t="s">
        <v>2575</v>
      </c>
      <c r="I219" s="55" t="s">
        <v>2575</v>
      </c>
      <c r="J219" s="53" t="s">
        <v>1840</v>
      </c>
      <c r="K219" s="53" t="s">
        <v>643</v>
      </c>
      <c r="L219" s="267" t="s">
        <v>591</v>
      </c>
    </row>
    <row r="220" spans="2:12" ht="24" x14ac:dyDescent="0.3">
      <c r="B220" s="262">
        <v>216</v>
      </c>
      <c r="C220" s="59" t="s">
        <v>1841</v>
      </c>
      <c r="D220" s="53" t="s">
        <v>1839</v>
      </c>
      <c r="E220" s="54" t="s">
        <v>1481</v>
      </c>
      <c r="F220" s="54" t="s">
        <v>2575</v>
      </c>
      <c r="G220" s="53" t="s">
        <v>2575</v>
      </c>
      <c r="H220" s="55" t="s">
        <v>2575</v>
      </c>
      <c r="I220" s="55" t="s">
        <v>2575</v>
      </c>
      <c r="J220" s="53" t="s">
        <v>1840</v>
      </c>
      <c r="K220" s="53" t="s">
        <v>643</v>
      </c>
      <c r="L220" s="267" t="s">
        <v>1473</v>
      </c>
    </row>
    <row r="221" spans="2:12" ht="24" x14ac:dyDescent="0.3">
      <c r="B221" s="262">
        <v>217</v>
      </c>
      <c r="C221" s="59" t="s">
        <v>1842</v>
      </c>
      <c r="D221" s="53" t="s">
        <v>1843</v>
      </c>
      <c r="E221" s="54" t="s">
        <v>1481</v>
      </c>
      <c r="F221" s="54" t="s">
        <v>2575</v>
      </c>
      <c r="G221" s="53" t="s">
        <v>2575</v>
      </c>
      <c r="H221" s="55" t="s">
        <v>2575</v>
      </c>
      <c r="I221" s="55" t="s">
        <v>2575</v>
      </c>
      <c r="J221" s="53" t="s">
        <v>537</v>
      </c>
      <c r="K221" s="53" t="s">
        <v>525</v>
      </c>
      <c r="L221" s="267" t="s">
        <v>568</v>
      </c>
    </row>
    <row r="222" spans="2:12" ht="12" x14ac:dyDescent="0.3">
      <c r="B222" s="262">
        <v>218</v>
      </c>
      <c r="C222" s="59" t="s">
        <v>1844</v>
      </c>
      <c r="D222" s="53" t="s">
        <v>1846</v>
      </c>
      <c r="E222" s="54" t="s">
        <v>1847</v>
      </c>
      <c r="F222" s="53" t="s">
        <v>2575</v>
      </c>
      <c r="G222" s="53" t="s">
        <v>2575</v>
      </c>
      <c r="H222" s="55" t="s">
        <v>2575</v>
      </c>
      <c r="I222" s="55" t="s">
        <v>2575</v>
      </c>
      <c r="J222" s="53" t="s">
        <v>537</v>
      </c>
      <c r="K222" s="53" t="s">
        <v>494</v>
      </c>
      <c r="L222" s="267" t="s">
        <v>1477</v>
      </c>
    </row>
    <row r="223" spans="2:12" ht="24" x14ac:dyDescent="0.3">
      <c r="B223" s="262">
        <v>219</v>
      </c>
      <c r="C223" s="59" t="s">
        <v>1848</v>
      </c>
      <c r="D223" s="53" t="s">
        <v>1849</v>
      </c>
      <c r="E223" s="54" t="s">
        <v>1850</v>
      </c>
      <c r="F223" s="54" t="s">
        <v>2575</v>
      </c>
      <c r="G223" s="54" t="s">
        <v>2575</v>
      </c>
      <c r="H223" s="54" t="s">
        <v>2575</v>
      </c>
      <c r="I223" s="54" t="s">
        <v>2575</v>
      </c>
      <c r="J223" s="54" t="s">
        <v>1851</v>
      </c>
      <c r="K223" s="54" t="s">
        <v>494</v>
      </c>
      <c r="L223" s="266" t="s">
        <v>568</v>
      </c>
    </row>
    <row r="224" spans="2:12" ht="24" x14ac:dyDescent="0.3">
      <c r="B224" s="262">
        <v>220</v>
      </c>
      <c r="C224" s="59" t="s">
        <v>1852</v>
      </c>
      <c r="D224" s="53" t="s">
        <v>1849</v>
      </c>
      <c r="E224" s="54" t="s">
        <v>1850</v>
      </c>
      <c r="F224" s="54" t="s">
        <v>2575</v>
      </c>
      <c r="G224" s="54" t="s">
        <v>2575</v>
      </c>
      <c r="H224" s="54" t="s">
        <v>2575</v>
      </c>
      <c r="I224" s="54" t="s">
        <v>2575</v>
      </c>
      <c r="J224" s="54" t="s">
        <v>1851</v>
      </c>
      <c r="K224" s="54" t="s">
        <v>494</v>
      </c>
      <c r="L224" s="268" t="s">
        <v>568</v>
      </c>
    </row>
    <row r="225" spans="2:12" ht="12" x14ac:dyDescent="0.3">
      <c r="B225" s="262">
        <v>221</v>
      </c>
      <c r="C225" s="59" t="s">
        <v>1853</v>
      </c>
      <c r="D225" s="53" t="s">
        <v>1854</v>
      </c>
      <c r="E225" s="54" t="s">
        <v>673</v>
      </c>
      <c r="F225" s="54" t="s">
        <v>2575</v>
      </c>
      <c r="G225" s="54" t="s">
        <v>2575</v>
      </c>
      <c r="H225" s="54" t="s">
        <v>2575</v>
      </c>
      <c r="I225" s="58" t="s">
        <v>2575</v>
      </c>
      <c r="J225" s="54" t="s">
        <v>1397</v>
      </c>
      <c r="K225" s="54" t="s">
        <v>638</v>
      </c>
      <c r="L225" s="268" t="s">
        <v>1537</v>
      </c>
    </row>
    <row r="226" spans="2:12" ht="12" x14ac:dyDescent="0.3">
      <c r="B226" s="262">
        <v>222</v>
      </c>
      <c r="C226" s="59" t="s">
        <v>1855</v>
      </c>
      <c r="D226" s="53" t="s">
        <v>1856</v>
      </c>
      <c r="E226" s="54" t="s">
        <v>673</v>
      </c>
      <c r="F226" s="54" t="s">
        <v>2575</v>
      </c>
      <c r="G226" s="54" t="s">
        <v>2575</v>
      </c>
      <c r="H226" s="54" t="s">
        <v>2575</v>
      </c>
      <c r="I226" s="58" t="s">
        <v>2575</v>
      </c>
      <c r="J226" s="54" t="s">
        <v>995</v>
      </c>
      <c r="K226" s="54" t="s">
        <v>638</v>
      </c>
      <c r="L226" s="269" t="s">
        <v>1473</v>
      </c>
    </row>
    <row r="227" spans="2:12" ht="12" x14ac:dyDescent="0.3">
      <c r="B227" s="262">
        <v>223</v>
      </c>
      <c r="C227" s="59" t="s">
        <v>1857</v>
      </c>
      <c r="D227" s="53" t="s">
        <v>1858</v>
      </c>
      <c r="E227" s="54" t="s">
        <v>673</v>
      </c>
      <c r="F227" s="54" t="s">
        <v>2575</v>
      </c>
      <c r="G227" s="54" t="s">
        <v>2575</v>
      </c>
      <c r="H227" s="54" t="s">
        <v>2575</v>
      </c>
      <c r="I227" s="58" t="s">
        <v>2575</v>
      </c>
      <c r="J227" s="54" t="s">
        <v>747</v>
      </c>
      <c r="K227" s="54" t="s">
        <v>638</v>
      </c>
      <c r="L227" s="268" t="s">
        <v>1537</v>
      </c>
    </row>
    <row r="228" spans="2:12" ht="12" x14ac:dyDescent="0.3">
      <c r="B228" s="262">
        <v>224</v>
      </c>
      <c r="C228" s="59" t="s">
        <v>1859</v>
      </c>
      <c r="D228" s="53" t="s">
        <v>1860</v>
      </c>
      <c r="E228" s="54" t="s">
        <v>1861</v>
      </c>
      <c r="F228" s="54" t="s">
        <v>2575</v>
      </c>
      <c r="G228" s="54" t="s">
        <v>2575</v>
      </c>
      <c r="H228" s="54" t="s">
        <v>2575</v>
      </c>
      <c r="I228" s="58" t="s">
        <v>2575</v>
      </c>
      <c r="J228" s="54" t="s">
        <v>1721</v>
      </c>
      <c r="K228" s="54" t="s">
        <v>755</v>
      </c>
      <c r="L228" s="268" t="s">
        <v>1473</v>
      </c>
    </row>
    <row r="229" spans="2:12" ht="24" x14ac:dyDescent="0.3">
      <c r="B229" s="262">
        <v>225</v>
      </c>
      <c r="C229" s="59" t="s">
        <v>1862</v>
      </c>
      <c r="D229" s="53" t="s">
        <v>1863</v>
      </c>
      <c r="E229" s="54" t="s">
        <v>710</v>
      </c>
      <c r="F229" s="54" t="s">
        <v>2575</v>
      </c>
      <c r="G229" s="54" t="s">
        <v>2575</v>
      </c>
      <c r="H229" s="54" t="s">
        <v>2575</v>
      </c>
      <c r="I229" s="58" t="s">
        <v>2575</v>
      </c>
      <c r="J229" s="54" t="s">
        <v>979</v>
      </c>
      <c r="K229" s="54" t="s">
        <v>694</v>
      </c>
      <c r="L229" s="269" t="s">
        <v>1473</v>
      </c>
    </row>
    <row r="230" spans="2:12" ht="24" x14ac:dyDescent="0.3">
      <c r="B230" s="262">
        <v>226</v>
      </c>
      <c r="C230" s="59" t="s">
        <v>1864</v>
      </c>
      <c r="D230" s="54" t="s">
        <v>1865</v>
      </c>
      <c r="E230" s="54" t="s">
        <v>1866</v>
      </c>
      <c r="F230" s="54" t="s">
        <v>2575</v>
      </c>
      <c r="G230" s="54" t="s">
        <v>2575</v>
      </c>
      <c r="H230" s="54" t="s">
        <v>2575</v>
      </c>
      <c r="I230" s="58" t="s">
        <v>2575</v>
      </c>
      <c r="J230" s="54" t="s">
        <v>1718</v>
      </c>
      <c r="K230" s="54" t="s">
        <v>482</v>
      </c>
      <c r="L230" s="269" t="s">
        <v>629</v>
      </c>
    </row>
    <row r="231" spans="2:12" ht="24" x14ac:dyDescent="0.3">
      <c r="B231" s="262">
        <v>227</v>
      </c>
      <c r="C231" s="59" t="s">
        <v>1867</v>
      </c>
      <c r="D231" s="54" t="s">
        <v>1868</v>
      </c>
      <c r="E231" s="54" t="s">
        <v>1869</v>
      </c>
      <c r="F231" s="54" t="s">
        <v>2575</v>
      </c>
      <c r="G231" s="54" t="s">
        <v>2575</v>
      </c>
      <c r="H231" s="54" t="s">
        <v>2575</v>
      </c>
      <c r="I231" s="58" t="s">
        <v>2575</v>
      </c>
      <c r="J231" s="54" t="s">
        <v>1870</v>
      </c>
      <c r="K231" s="54" t="s">
        <v>765</v>
      </c>
      <c r="L231" s="269" t="s">
        <v>629</v>
      </c>
    </row>
    <row r="232" spans="2:12" ht="24" x14ac:dyDescent="0.3">
      <c r="B232" s="262">
        <v>228</v>
      </c>
      <c r="C232" s="59" t="s">
        <v>1871</v>
      </c>
      <c r="D232" s="54" t="s">
        <v>1872</v>
      </c>
      <c r="E232" s="54" t="s">
        <v>710</v>
      </c>
      <c r="F232" s="54" t="s">
        <v>2575</v>
      </c>
      <c r="G232" s="54" t="s">
        <v>2575</v>
      </c>
      <c r="H232" s="54" t="s">
        <v>2575</v>
      </c>
      <c r="I232" s="58" t="s">
        <v>2575</v>
      </c>
      <c r="J232" s="54" t="s">
        <v>747</v>
      </c>
      <c r="K232" s="54" t="s">
        <v>694</v>
      </c>
      <c r="L232" s="269" t="s">
        <v>1537</v>
      </c>
    </row>
    <row r="233" spans="2:12" ht="24" x14ac:dyDescent="0.3">
      <c r="B233" s="262">
        <v>229</v>
      </c>
      <c r="C233" s="59" t="s">
        <v>1873</v>
      </c>
      <c r="D233" s="53" t="s">
        <v>1874</v>
      </c>
      <c r="E233" s="54" t="s">
        <v>710</v>
      </c>
      <c r="F233" s="54" t="s">
        <v>2575</v>
      </c>
      <c r="G233" s="54" t="s">
        <v>2575</v>
      </c>
      <c r="H233" s="54" t="s">
        <v>2575</v>
      </c>
      <c r="I233" s="58" t="s">
        <v>2575</v>
      </c>
      <c r="J233" s="54" t="s">
        <v>1875</v>
      </c>
      <c r="K233" s="54" t="s">
        <v>1876</v>
      </c>
      <c r="L233" s="266" t="s">
        <v>1537</v>
      </c>
    </row>
    <row r="234" spans="2:12" ht="24" x14ac:dyDescent="0.3">
      <c r="B234" s="262">
        <v>230</v>
      </c>
      <c r="C234" s="59" t="s">
        <v>1877</v>
      </c>
      <c r="D234" s="53" t="s">
        <v>1878</v>
      </c>
      <c r="E234" s="54" t="s">
        <v>751</v>
      </c>
      <c r="F234" s="54" t="s">
        <v>2575</v>
      </c>
      <c r="G234" s="53" t="s">
        <v>2575</v>
      </c>
      <c r="H234" s="53" t="s">
        <v>2575</v>
      </c>
      <c r="I234" s="56" t="s">
        <v>2575</v>
      </c>
      <c r="J234" s="53" t="s">
        <v>747</v>
      </c>
      <c r="K234" s="53" t="s">
        <v>494</v>
      </c>
      <c r="L234" s="266" t="s">
        <v>1473</v>
      </c>
    </row>
    <row r="235" spans="2:12" ht="24" x14ac:dyDescent="0.3">
      <c r="B235" s="262">
        <v>231</v>
      </c>
      <c r="C235" s="59" t="s">
        <v>1879</v>
      </c>
      <c r="D235" s="53" t="s">
        <v>1880</v>
      </c>
      <c r="E235" s="54" t="s">
        <v>710</v>
      </c>
      <c r="F235" s="54" t="s">
        <v>2575</v>
      </c>
      <c r="G235" s="53" t="s">
        <v>2575</v>
      </c>
      <c r="H235" s="55" t="s">
        <v>2575</v>
      </c>
      <c r="I235" s="55" t="s">
        <v>2575</v>
      </c>
      <c r="J235" s="53" t="s">
        <v>1482</v>
      </c>
      <c r="K235" s="53" t="s">
        <v>643</v>
      </c>
      <c r="L235" s="267" t="s">
        <v>1473</v>
      </c>
    </row>
    <row r="236" spans="2:12" ht="12" x14ac:dyDescent="0.3">
      <c r="B236" s="262">
        <v>232</v>
      </c>
      <c r="C236" s="59" t="s">
        <v>1881</v>
      </c>
      <c r="D236" s="53" t="s">
        <v>1882</v>
      </c>
      <c r="E236" s="54" t="s">
        <v>1883</v>
      </c>
      <c r="F236" s="54" t="s">
        <v>2575</v>
      </c>
      <c r="G236" s="53" t="s">
        <v>2575</v>
      </c>
      <c r="H236" s="53" t="s">
        <v>2575</v>
      </c>
      <c r="I236" s="56" t="s">
        <v>2575</v>
      </c>
      <c r="J236" s="53" t="s">
        <v>1884</v>
      </c>
      <c r="K236" s="53" t="s">
        <v>694</v>
      </c>
      <c r="L236" s="266" t="s">
        <v>1537</v>
      </c>
    </row>
    <row r="237" spans="2:12" ht="12" x14ac:dyDescent="0.3">
      <c r="B237" s="262">
        <v>233</v>
      </c>
      <c r="C237" s="59" t="s">
        <v>1885</v>
      </c>
      <c r="D237" s="53" t="s">
        <v>1886</v>
      </c>
      <c r="E237" s="54" t="s">
        <v>1883</v>
      </c>
      <c r="F237" s="54" t="s">
        <v>2575</v>
      </c>
      <c r="G237" s="53" t="s">
        <v>2575</v>
      </c>
      <c r="H237" s="53" t="s">
        <v>2575</v>
      </c>
      <c r="I237" s="56" t="s">
        <v>2575</v>
      </c>
      <c r="J237" s="53" t="s">
        <v>1887</v>
      </c>
      <c r="K237" s="53" t="s">
        <v>1888</v>
      </c>
      <c r="L237" s="266" t="s">
        <v>1537</v>
      </c>
    </row>
    <row r="238" spans="2:12" ht="12" x14ac:dyDescent="0.3">
      <c r="B238" s="262">
        <v>234</v>
      </c>
      <c r="C238" s="59" t="s">
        <v>1889</v>
      </c>
      <c r="D238" s="53" t="s">
        <v>1890</v>
      </c>
      <c r="E238" s="54" t="s">
        <v>1883</v>
      </c>
      <c r="F238" s="54" t="s">
        <v>2575</v>
      </c>
      <c r="G238" s="54" t="s">
        <v>2575</v>
      </c>
      <c r="H238" s="53" t="s">
        <v>2575</v>
      </c>
      <c r="I238" s="53" t="s">
        <v>2575</v>
      </c>
      <c r="J238" s="53" t="s">
        <v>1884</v>
      </c>
      <c r="K238" s="53" t="s">
        <v>694</v>
      </c>
      <c r="L238" s="266" t="s">
        <v>1537</v>
      </c>
    </row>
    <row r="239" spans="2:12" ht="12" x14ac:dyDescent="0.3">
      <c r="B239" s="262">
        <v>235</v>
      </c>
      <c r="C239" s="59" t="s">
        <v>1891</v>
      </c>
      <c r="D239" s="53" t="s">
        <v>1892</v>
      </c>
      <c r="E239" s="54" t="s">
        <v>727</v>
      </c>
      <c r="F239" s="54" t="s">
        <v>2575</v>
      </c>
      <c r="G239" s="54" t="s">
        <v>2575</v>
      </c>
      <c r="H239" s="53" t="s">
        <v>2575</v>
      </c>
      <c r="I239" s="53" t="s">
        <v>2575</v>
      </c>
      <c r="J239" s="53" t="s">
        <v>979</v>
      </c>
      <c r="K239" s="53" t="s">
        <v>731</v>
      </c>
      <c r="L239" s="266" t="s">
        <v>1511</v>
      </c>
    </row>
    <row r="240" spans="2:12" ht="12" x14ac:dyDescent="0.3">
      <c r="B240" s="262">
        <v>236</v>
      </c>
      <c r="C240" s="59" t="s">
        <v>1893</v>
      </c>
      <c r="D240" s="53" t="s">
        <v>1894</v>
      </c>
      <c r="E240" s="54" t="s">
        <v>727</v>
      </c>
      <c r="F240" s="54" t="s">
        <v>2575</v>
      </c>
      <c r="G240" s="54" t="s">
        <v>2575</v>
      </c>
      <c r="H240" s="53" t="s">
        <v>2575</v>
      </c>
      <c r="I240" s="53" t="s">
        <v>2575</v>
      </c>
      <c r="J240" s="53" t="s">
        <v>747</v>
      </c>
      <c r="K240" s="53" t="s">
        <v>731</v>
      </c>
      <c r="L240" s="266" t="s">
        <v>1473</v>
      </c>
    </row>
    <row r="241" spans="2:12" ht="12" x14ac:dyDescent="0.3">
      <c r="B241" s="262">
        <v>237</v>
      </c>
      <c r="C241" s="59" t="s">
        <v>1895</v>
      </c>
      <c r="D241" s="53" t="s">
        <v>1896</v>
      </c>
      <c r="E241" s="54" t="s">
        <v>727</v>
      </c>
      <c r="F241" s="54" t="s">
        <v>2575</v>
      </c>
      <c r="G241" s="54" t="s">
        <v>2575</v>
      </c>
      <c r="H241" s="53" t="s">
        <v>2575</v>
      </c>
      <c r="I241" s="53" t="s">
        <v>2575</v>
      </c>
      <c r="J241" s="53" t="s">
        <v>1397</v>
      </c>
      <c r="K241" s="53" t="s">
        <v>704</v>
      </c>
      <c r="L241" s="266" t="s">
        <v>1511</v>
      </c>
    </row>
    <row r="242" spans="2:12" ht="12" x14ac:dyDescent="0.3">
      <c r="B242" s="262">
        <v>238</v>
      </c>
      <c r="C242" s="59" t="s">
        <v>1897</v>
      </c>
      <c r="D242" s="53" t="s">
        <v>1898</v>
      </c>
      <c r="E242" s="54" t="s">
        <v>727</v>
      </c>
      <c r="F242" s="54" t="s">
        <v>2575</v>
      </c>
      <c r="G242" s="54" t="s">
        <v>2575</v>
      </c>
      <c r="H242" s="53" t="s">
        <v>2575</v>
      </c>
      <c r="I242" s="53" t="s">
        <v>2575</v>
      </c>
      <c r="J242" s="53" t="s">
        <v>988</v>
      </c>
      <c r="K242" s="53" t="s">
        <v>731</v>
      </c>
      <c r="L242" s="266" t="s">
        <v>1473</v>
      </c>
    </row>
    <row r="243" spans="2:12" ht="24" x14ac:dyDescent="0.3">
      <c r="B243" s="262">
        <v>239</v>
      </c>
      <c r="C243" s="59" t="s">
        <v>1899</v>
      </c>
      <c r="D243" s="53" t="s">
        <v>1900</v>
      </c>
      <c r="E243" s="54" t="s">
        <v>786</v>
      </c>
      <c r="F243" s="54" t="s">
        <v>2575</v>
      </c>
      <c r="G243" s="54" t="s">
        <v>2575</v>
      </c>
      <c r="H243" s="53" t="s">
        <v>2575</v>
      </c>
      <c r="I243" s="53" t="s">
        <v>2575</v>
      </c>
      <c r="J243" s="53" t="s">
        <v>979</v>
      </c>
      <c r="K243" s="53" t="s">
        <v>694</v>
      </c>
      <c r="L243" s="266" t="s">
        <v>1537</v>
      </c>
    </row>
    <row r="244" spans="2:12" ht="24" x14ac:dyDescent="0.3">
      <c r="B244" s="262">
        <v>240</v>
      </c>
      <c r="C244" s="59" t="s">
        <v>1901</v>
      </c>
      <c r="D244" s="53" t="s">
        <v>1902</v>
      </c>
      <c r="E244" s="54" t="s">
        <v>786</v>
      </c>
      <c r="F244" s="54" t="s">
        <v>2575</v>
      </c>
      <c r="G244" s="54" t="s">
        <v>2575</v>
      </c>
      <c r="H244" s="53" t="s">
        <v>2575</v>
      </c>
      <c r="I244" s="53" t="s">
        <v>2575</v>
      </c>
      <c r="J244" s="53" t="s">
        <v>747</v>
      </c>
      <c r="K244" s="53" t="s">
        <v>694</v>
      </c>
      <c r="L244" s="266" t="s">
        <v>1473</v>
      </c>
    </row>
    <row r="245" spans="2:12" ht="24" x14ac:dyDescent="0.3">
      <c r="B245" s="262">
        <v>241</v>
      </c>
      <c r="C245" s="59" t="s">
        <v>1903</v>
      </c>
      <c r="D245" s="53" t="s">
        <v>1904</v>
      </c>
      <c r="E245" s="54" t="s">
        <v>710</v>
      </c>
      <c r="F245" s="54" t="s">
        <v>2575</v>
      </c>
      <c r="G245" s="54" t="s">
        <v>2575</v>
      </c>
      <c r="H245" s="53" t="s">
        <v>2575</v>
      </c>
      <c r="I245" s="53" t="s">
        <v>2575</v>
      </c>
      <c r="J245" s="53" t="s">
        <v>537</v>
      </c>
      <c r="K245" s="53" t="s">
        <v>765</v>
      </c>
      <c r="L245" s="266" t="s">
        <v>1505</v>
      </c>
    </row>
    <row r="246" spans="2:12" ht="24" x14ac:dyDescent="0.3">
      <c r="B246" s="262">
        <v>242</v>
      </c>
      <c r="C246" s="59" t="s">
        <v>1905</v>
      </c>
      <c r="D246" s="53" t="s">
        <v>1906</v>
      </c>
      <c r="E246" s="54" t="s">
        <v>710</v>
      </c>
      <c r="F246" s="54" t="s">
        <v>2575</v>
      </c>
      <c r="G246" s="54" t="s">
        <v>2575</v>
      </c>
      <c r="H246" s="53" t="s">
        <v>2575</v>
      </c>
      <c r="I246" s="53" t="s">
        <v>2575</v>
      </c>
      <c r="J246" s="53" t="s">
        <v>1490</v>
      </c>
      <c r="K246" s="53" t="s">
        <v>638</v>
      </c>
      <c r="L246" s="266" t="s">
        <v>1511</v>
      </c>
    </row>
    <row r="247" spans="2:12" ht="24" x14ac:dyDescent="0.3">
      <c r="B247" s="262">
        <v>243</v>
      </c>
      <c r="C247" s="59" t="s">
        <v>1907</v>
      </c>
      <c r="D247" s="53" t="s">
        <v>1908</v>
      </c>
      <c r="E247" s="54" t="s">
        <v>786</v>
      </c>
      <c r="F247" s="54" t="s">
        <v>2575</v>
      </c>
      <c r="G247" s="54" t="s">
        <v>2575</v>
      </c>
      <c r="H247" s="53" t="s">
        <v>2575</v>
      </c>
      <c r="I247" s="53" t="s">
        <v>2575</v>
      </c>
      <c r="J247" s="53" t="s">
        <v>1884</v>
      </c>
      <c r="K247" s="53" t="s">
        <v>738</v>
      </c>
      <c r="L247" s="266" t="s">
        <v>1537</v>
      </c>
    </row>
    <row r="248" spans="2:12" ht="24" x14ac:dyDescent="0.3">
      <c r="B248" s="262">
        <v>244</v>
      </c>
      <c r="C248" s="59" t="s">
        <v>1909</v>
      </c>
      <c r="D248" s="53" t="s">
        <v>1910</v>
      </c>
      <c r="E248" s="54" t="s">
        <v>786</v>
      </c>
      <c r="F248" s="54" t="s">
        <v>2575</v>
      </c>
      <c r="G248" s="54" t="s">
        <v>2575</v>
      </c>
      <c r="H248" s="53" t="s">
        <v>2575</v>
      </c>
      <c r="I248" s="53" t="s">
        <v>2575</v>
      </c>
      <c r="J248" s="53" t="s">
        <v>1884</v>
      </c>
      <c r="K248" s="53" t="s">
        <v>738</v>
      </c>
      <c r="L248" s="266" t="s">
        <v>1473</v>
      </c>
    </row>
    <row r="249" spans="2:12" ht="24" x14ac:dyDescent="0.3">
      <c r="B249" s="262">
        <v>245</v>
      </c>
      <c r="C249" s="59" t="s">
        <v>1911</v>
      </c>
      <c r="D249" s="53" t="s">
        <v>1912</v>
      </c>
      <c r="E249" s="54" t="s">
        <v>710</v>
      </c>
      <c r="F249" s="54" t="s">
        <v>2575</v>
      </c>
      <c r="G249" s="54" t="s">
        <v>2575</v>
      </c>
      <c r="H249" s="53" t="s">
        <v>2575</v>
      </c>
      <c r="I249" s="53" t="s">
        <v>2575</v>
      </c>
      <c r="J249" s="53" t="s">
        <v>747</v>
      </c>
      <c r="K249" s="53" t="s">
        <v>738</v>
      </c>
      <c r="L249" s="266" t="s">
        <v>1537</v>
      </c>
    </row>
    <row r="250" spans="2:12" ht="12" x14ac:dyDescent="0.3">
      <c r="B250" s="262">
        <v>246</v>
      </c>
      <c r="C250" s="59" t="s">
        <v>1913</v>
      </c>
      <c r="D250" s="53" t="s">
        <v>1898</v>
      </c>
      <c r="E250" s="54" t="s">
        <v>727</v>
      </c>
      <c r="F250" s="54" t="s">
        <v>2575</v>
      </c>
      <c r="G250" s="54" t="s">
        <v>2575</v>
      </c>
      <c r="H250" s="53" t="s">
        <v>2575</v>
      </c>
      <c r="I250" s="53" t="s">
        <v>2575</v>
      </c>
      <c r="J250" s="53" t="s">
        <v>988</v>
      </c>
      <c r="K250" s="53" t="s">
        <v>731</v>
      </c>
      <c r="L250" s="266" t="s">
        <v>1511</v>
      </c>
    </row>
    <row r="251" spans="2:12" ht="12" x14ac:dyDescent="0.3">
      <c r="B251" s="262">
        <v>247</v>
      </c>
      <c r="C251" s="59" t="s">
        <v>1914</v>
      </c>
      <c r="D251" s="53" t="s">
        <v>1915</v>
      </c>
      <c r="E251" s="54" t="s">
        <v>1006</v>
      </c>
      <c r="F251" s="54" t="s">
        <v>2575</v>
      </c>
      <c r="G251" s="54" t="s">
        <v>2575</v>
      </c>
      <c r="H251" s="53" t="s">
        <v>2575</v>
      </c>
      <c r="I251" s="53" t="s">
        <v>2575</v>
      </c>
      <c r="J251" s="53" t="s">
        <v>1490</v>
      </c>
      <c r="K251" s="53" t="s">
        <v>704</v>
      </c>
      <c r="L251" s="266" t="s">
        <v>1511</v>
      </c>
    </row>
    <row r="252" spans="2:12" ht="12" x14ac:dyDescent="0.3">
      <c r="B252" s="262">
        <v>248</v>
      </c>
      <c r="C252" s="59" t="s">
        <v>1916</v>
      </c>
      <c r="D252" s="53" t="s">
        <v>1917</v>
      </c>
      <c r="E252" s="54" t="s">
        <v>1006</v>
      </c>
      <c r="F252" s="54" t="s">
        <v>2575</v>
      </c>
      <c r="G252" s="54" t="s">
        <v>2575</v>
      </c>
      <c r="H252" s="53" t="s">
        <v>2575</v>
      </c>
      <c r="I252" s="53" t="s">
        <v>2575</v>
      </c>
      <c r="J252" s="53" t="s">
        <v>1009</v>
      </c>
      <c r="K252" s="53" t="s">
        <v>731</v>
      </c>
      <c r="L252" s="266" t="s">
        <v>1537</v>
      </c>
    </row>
    <row r="253" spans="2:12" ht="24" x14ac:dyDescent="0.3">
      <c r="B253" s="262">
        <v>249</v>
      </c>
      <c r="C253" s="59" t="s">
        <v>1918</v>
      </c>
      <c r="D253" s="53" t="s">
        <v>1919</v>
      </c>
      <c r="E253" s="54" t="s">
        <v>786</v>
      </c>
      <c r="F253" s="54" t="s">
        <v>2575</v>
      </c>
      <c r="G253" s="54" t="s">
        <v>2575</v>
      </c>
      <c r="H253" s="53" t="s">
        <v>2575</v>
      </c>
      <c r="I253" s="53" t="s">
        <v>2575</v>
      </c>
      <c r="J253" s="53" t="s">
        <v>747</v>
      </c>
      <c r="K253" s="53" t="s">
        <v>738</v>
      </c>
      <c r="L253" s="266" t="s">
        <v>1505</v>
      </c>
    </row>
    <row r="254" spans="2:12" ht="24" x14ac:dyDescent="0.3">
      <c r="B254" s="262">
        <v>250</v>
      </c>
      <c r="C254" s="59" t="s">
        <v>1920</v>
      </c>
      <c r="D254" s="53" t="s">
        <v>1921</v>
      </c>
      <c r="E254" s="54" t="s">
        <v>786</v>
      </c>
      <c r="F254" s="54" t="s">
        <v>2575</v>
      </c>
      <c r="G254" s="54" t="s">
        <v>2575</v>
      </c>
      <c r="H254" s="53" t="s">
        <v>2575</v>
      </c>
      <c r="I254" s="53" t="s">
        <v>2575</v>
      </c>
      <c r="J254" s="53" t="s">
        <v>1514</v>
      </c>
      <c r="K254" s="54" t="s">
        <v>1922</v>
      </c>
      <c r="L254" s="266" t="s">
        <v>1511</v>
      </c>
    </row>
    <row r="255" spans="2:12" ht="12" x14ac:dyDescent="0.3">
      <c r="B255" s="262">
        <v>251</v>
      </c>
      <c r="C255" s="59" t="s">
        <v>1923</v>
      </c>
      <c r="D255" s="53" t="s">
        <v>1924</v>
      </c>
      <c r="E255" s="54" t="s">
        <v>645</v>
      </c>
      <c r="F255" s="54" t="s">
        <v>2575</v>
      </c>
      <c r="G255" s="54" t="s">
        <v>2575</v>
      </c>
      <c r="H255" s="53" t="s">
        <v>2575</v>
      </c>
      <c r="I255" s="53" t="s">
        <v>2575</v>
      </c>
      <c r="J255" s="53" t="s">
        <v>1925</v>
      </c>
      <c r="K255" s="53" t="s">
        <v>1926</v>
      </c>
      <c r="L255" s="266" t="s">
        <v>506</v>
      </c>
    </row>
    <row r="256" spans="2:12" ht="24" x14ac:dyDescent="0.3">
      <c r="B256" s="262">
        <v>252</v>
      </c>
      <c r="C256" s="59" t="s">
        <v>1927</v>
      </c>
      <c r="D256" s="53" t="s">
        <v>1928</v>
      </c>
      <c r="E256" s="54" t="s">
        <v>1690</v>
      </c>
      <c r="F256" s="54" t="s">
        <v>2575</v>
      </c>
      <c r="G256" s="54" t="s">
        <v>2575</v>
      </c>
      <c r="H256" s="53" t="s">
        <v>2575</v>
      </c>
      <c r="I256" s="53" t="s">
        <v>2575</v>
      </c>
      <c r="J256" s="53" t="s">
        <v>1929</v>
      </c>
      <c r="K256" s="54" t="s">
        <v>514</v>
      </c>
      <c r="L256" s="266" t="s">
        <v>515</v>
      </c>
    </row>
    <row r="257" spans="2:12" ht="12" x14ac:dyDescent="0.3">
      <c r="B257" s="262">
        <v>253</v>
      </c>
      <c r="C257" s="59" t="s">
        <v>1930</v>
      </c>
      <c r="D257" s="53" t="s">
        <v>1931</v>
      </c>
      <c r="E257" s="54" t="s">
        <v>1932</v>
      </c>
      <c r="F257" s="54" t="s">
        <v>2575</v>
      </c>
      <c r="G257" s="54" t="s">
        <v>2575</v>
      </c>
      <c r="H257" s="53" t="s">
        <v>2575</v>
      </c>
      <c r="I257" s="53" t="s">
        <v>2575</v>
      </c>
      <c r="J257" s="53" t="s">
        <v>1397</v>
      </c>
      <c r="K257" s="54" t="s">
        <v>1687</v>
      </c>
      <c r="L257" s="266" t="s">
        <v>1740</v>
      </c>
    </row>
    <row r="258" spans="2:12" ht="12" x14ac:dyDescent="0.3">
      <c r="B258" s="262">
        <v>254</v>
      </c>
      <c r="C258" s="59" t="s">
        <v>1933</v>
      </c>
      <c r="D258" s="53" t="s">
        <v>1934</v>
      </c>
      <c r="E258" s="54" t="s">
        <v>1935</v>
      </c>
      <c r="F258" s="54" t="s">
        <v>2575</v>
      </c>
      <c r="G258" s="54" t="s">
        <v>2575</v>
      </c>
      <c r="H258" s="53" t="s">
        <v>2575</v>
      </c>
      <c r="I258" s="53" t="s">
        <v>2575</v>
      </c>
      <c r="J258" s="53" t="s">
        <v>1936</v>
      </c>
      <c r="K258" s="53" t="s">
        <v>1926</v>
      </c>
      <c r="L258" s="266" t="s">
        <v>506</v>
      </c>
    </row>
    <row r="259" spans="2:12" ht="12" x14ac:dyDescent="0.3">
      <c r="B259" s="262">
        <v>255</v>
      </c>
      <c r="C259" s="59" t="s">
        <v>1937</v>
      </c>
      <c r="D259" s="53" t="s">
        <v>1938</v>
      </c>
      <c r="E259" s="54" t="s">
        <v>1939</v>
      </c>
      <c r="F259" s="54" t="s">
        <v>2575</v>
      </c>
      <c r="G259" s="54" t="s">
        <v>2575</v>
      </c>
      <c r="H259" s="53" t="s">
        <v>2575</v>
      </c>
      <c r="I259" s="53" t="s">
        <v>2575</v>
      </c>
      <c r="J259" s="53" t="s">
        <v>1936</v>
      </c>
      <c r="K259" s="53" t="s">
        <v>1926</v>
      </c>
      <c r="L259" s="266" t="s">
        <v>1940</v>
      </c>
    </row>
    <row r="260" spans="2:12" ht="24" x14ac:dyDescent="0.3">
      <c r="B260" s="262">
        <v>256</v>
      </c>
      <c r="C260" s="59" t="s">
        <v>1941</v>
      </c>
      <c r="D260" s="53" t="s">
        <v>1943</v>
      </c>
      <c r="E260" s="54" t="s">
        <v>1693</v>
      </c>
      <c r="F260" s="54" t="s">
        <v>2575</v>
      </c>
      <c r="G260" s="54" t="s">
        <v>2575</v>
      </c>
      <c r="H260" s="53" t="s">
        <v>2575</v>
      </c>
      <c r="I260" s="53" t="s">
        <v>2575</v>
      </c>
      <c r="J260" s="53" t="s">
        <v>1944</v>
      </c>
      <c r="K260" s="53" t="s">
        <v>722</v>
      </c>
      <c r="L260" s="266" t="s">
        <v>526</v>
      </c>
    </row>
    <row r="261" spans="2:12" ht="24" x14ac:dyDescent="0.3">
      <c r="B261" s="262">
        <v>257</v>
      </c>
      <c r="C261" s="59" t="s">
        <v>1945</v>
      </c>
      <c r="D261" s="53" t="s">
        <v>1946</v>
      </c>
      <c r="E261" s="54" t="s">
        <v>1485</v>
      </c>
      <c r="F261" s="54" t="s">
        <v>2575</v>
      </c>
      <c r="G261" s="54" t="s">
        <v>2575</v>
      </c>
      <c r="H261" s="53" t="s">
        <v>2575</v>
      </c>
      <c r="I261" s="53" t="s">
        <v>2575</v>
      </c>
      <c r="J261" s="53" t="s">
        <v>1389</v>
      </c>
      <c r="K261" s="53" t="s">
        <v>722</v>
      </c>
      <c r="L261" s="266" t="s">
        <v>506</v>
      </c>
    </row>
    <row r="262" spans="2:12" ht="24" x14ac:dyDescent="0.3">
      <c r="B262" s="262">
        <v>258</v>
      </c>
      <c r="C262" s="59" t="s">
        <v>1947</v>
      </c>
      <c r="D262" s="53" t="s">
        <v>1948</v>
      </c>
      <c r="E262" s="54" t="s">
        <v>603</v>
      </c>
      <c r="F262" s="54" t="s">
        <v>2575</v>
      </c>
      <c r="G262" s="54" t="s">
        <v>2575</v>
      </c>
      <c r="H262" s="53" t="s">
        <v>2575</v>
      </c>
      <c r="I262" s="53" t="s">
        <v>2575</v>
      </c>
      <c r="J262" s="53" t="s">
        <v>1949</v>
      </c>
      <c r="K262" s="53" t="s">
        <v>682</v>
      </c>
      <c r="L262" s="266" t="s">
        <v>1477</v>
      </c>
    </row>
    <row r="263" spans="2:12" ht="24" x14ac:dyDescent="0.3">
      <c r="B263" s="262">
        <v>259</v>
      </c>
      <c r="C263" s="59" t="s">
        <v>1950</v>
      </c>
      <c r="D263" s="53" t="s">
        <v>1948</v>
      </c>
      <c r="E263" s="54" t="s">
        <v>603</v>
      </c>
      <c r="F263" s="54" t="s">
        <v>2575</v>
      </c>
      <c r="G263" s="54" t="s">
        <v>2575</v>
      </c>
      <c r="H263" s="53" t="s">
        <v>2575</v>
      </c>
      <c r="I263" s="53" t="s">
        <v>2575</v>
      </c>
      <c r="J263" s="53" t="s">
        <v>1949</v>
      </c>
      <c r="K263" s="53" t="s">
        <v>682</v>
      </c>
      <c r="L263" s="266" t="s">
        <v>1477</v>
      </c>
    </row>
    <row r="264" spans="2:12" ht="24" x14ac:dyDescent="0.3">
      <c r="B264" s="262">
        <v>260</v>
      </c>
      <c r="C264" s="59" t="s">
        <v>1951</v>
      </c>
      <c r="D264" s="53" t="s">
        <v>1952</v>
      </c>
      <c r="E264" s="54" t="s">
        <v>1481</v>
      </c>
      <c r="F264" s="54" t="s">
        <v>2575</v>
      </c>
      <c r="G264" s="54" t="s">
        <v>2575</v>
      </c>
      <c r="H264" s="53" t="s">
        <v>2575</v>
      </c>
      <c r="I264" s="53" t="s">
        <v>2575</v>
      </c>
      <c r="J264" s="53" t="s">
        <v>1664</v>
      </c>
      <c r="K264" s="53" t="s">
        <v>514</v>
      </c>
      <c r="L264" s="266" t="s">
        <v>1473</v>
      </c>
    </row>
    <row r="265" spans="2:12" ht="24" x14ac:dyDescent="0.3">
      <c r="B265" s="262">
        <v>261</v>
      </c>
      <c r="C265" s="59" t="s">
        <v>1953</v>
      </c>
      <c r="D265" s="53" t="s">
        <v>1954</v>
      </c>
      <c r="E265" s="54" t="s">
        <v>1955</v>
      </c>
      <c r="F265" s="54" t="s">
        <v>2575</v>
      </c>
      <c r="G265" s="54" t="s">
        <v>2575</v>
      </c>
      <c r="H265" s="53" t="s">
        <v>2575</v>
      </c>
      <c r="I265" s="53" t="s">
        <v>2575</v>
      </c>
      <c r="J265" s="53" t="s">
        <v>1956</v>
      </c>
      <c r="K265" s="53" t="s">
        <v>722</v>
      </c>
      <c r="L265" s="266" t="s">
        <v>629</v>
      </c>
    </row>
    <row r="266" spans="2:12" ht="24" x14ac:dyDescent="0.3">
      <c r="B266" s="262">
        <v>262</v>
      </c>
      <c r="C266" s="59" t="s">
        <v>1957</v>
      </c>
      <c r="D266" s="53" t="s">
        <v>1958</v>
      </c>
      <c r="E266" s="54" t="s">
        <v>786</v>
      </c>
      <c r="F266" s="54" t="s">
        <v>2575</v>
      </c>
      <c r="G266" s="54" t="s">
        <v>2575</v>
      </c>
      <c r="H266" s="53" t="s">
        <v>2575</v>
      </c>
      <c r="I266" s="53" t="s">
        <v>2575</v>
      </c>
      <c r="J266" s="53" t="s">
        <v>1664</v>
      </c>
      <c r="K266" s="53" t="s">
        <v>514</v>
      </c>
      <c r="L266" s="266" t="s">
        <v>1473</v>
      </c>
    </row>
    <row r="267" spans="2:12" ht="24" x14ac:dyDescent="0.3">
      <c r="B267" s="262">
        <v>263</v>
      </c>
      <c r="C267" s="59" t="s">
        <v>1960</v>
      </c>
      <c r="D267" s="53" t="s">
        <v>1961</v>
      </c>
      <c r="E267" s="54" t="s">
        <v>603</v>
      </c>
      <c r="F267" s="54" t="s">
        <v>2575</v>
      </c>
      <c r="G267" s="54" t="s">
        <v>2575</v>
      </c>
      <c r="H267" s="53" t="s">
        <v>2575</v>
      </c>
      <c r="I267" s="53" t="s">
        <v>2575</v>
      </c>
      <c r="J267" s="53" t="s">
        <v>1699</v>
      </c>
      <c r="K267" s="53" t="s">
        <v>494</v>
      </c>
      <c r="L267" s="266" t="s">
        <v>526</v>
      </c>
    </row>
    <row r="268" spans="2:12" ht="24" x14ac:dyDescent="0.3">
      <c r="B268" s="262">
        <v>264</v>
      </c>
      <c r="C268" s="59" t="s">
        <v>1963</v>
      </c>
      <c r="D268" s="53" t="s">
        <v>1964</v>
      </c>
      <c r="E268" s="54" t="s">
        <v>603</v>
      </c>
      <c r="F268" s="54" t="s">
        <v>2575</v>
      </c>
      <c r="G268" s="54" t="s">
        <v>2575</v>
      </c>
      <c r="H268" s="53" t="s">
        <v>2575</v>
      </c>
      <c r="I268" s="53" t="s">
        <v>2575</v>
      </c>
      <c r="J268" s="53" t="s">
        <v>524</v>
      </c>
      <c r="K268" s="53" t="s">
        <v>525</v>
      </c>
      <c r="L268" s="266" t="s">
        <v>591</v>
      </c>
    </row>
    <row r="269" spans="2:12" ht="24" x14ac:dyDescent="0.3">
      <c r="B269" s="262">
        <v>265</v>
      </c>
      <c r="C269" s="59" t="s">
        <v>1966</v>
      </c>
      <c r="D269" s="53" t="s">
        <v>1968</v>
      </c>
      <c r="E269" s="54" t="s">
        <v>2458</v>
      </c>
      <c r="F269" s="54" t="s">
        <v>2575</v>
      </c>
      <c r="G269" s="54" t="s">
        <v>2575</v>
      </c>
      <c r="H269" s="53" t="s">
        <v>2575</v>
      </c>
      <c r="I269" s="53" t="s">
        <v>2575</v>
      </c>
      <c r="J269" s="53" t="s">
        <v>524</v>
      </c>
      <c r="K269" s="53" t="s">
        <v>525</v>
      </c>
      <c r="L269" s="266" t="s">
        <v>526</v>
      </c>
    </row>
    <row r="270" spans="2:12" ht="24" x14ac:dyDescent="0.3">
      <c r="B270" s="262">
        <v>266</v>
      </c>
      <c r="C270" s="59" t="s">
        <v>1970</v>
      </c>
      <c r="D270" s="53" t="s">
        <v>1476</v>
      </c>
      <c r="E270" s="54" t="s">
        <v>612</v>
      </c>
      <c r="F270" s="54" t="s">
        <v>2575</v>
      </c>
      <c r="G270" s="54" t="s">
        <v>2575</v>
      </c>
      <c r="H270" s="53" t="s">
        <v>2575</v>
      </c>
      <c r="I270" s="53" t="s">
        <v>2575</v>
      </c>
      <c r="J270" s="53" t="s">
        <v>524</v>
      </c>
      <c r="K270" s="53" t="s">
        <v>643</v>
      </c>
      <c r="L270" s="266" t="s">
        <v>591</v>
      </c>
    </row>
    <row r="271" spans="2:12" ht="12" x14ac:dyDescent="0.3">
      <c r="B271" s="262">
        <v>267</v>
      </c>
      <c r="C271" s="59" t="s">
        <v>1971</v>
      </c>
      <c r="D271" s="53" t="s">
        <v>589</v>
      </c>
      <c r="E271" s="54" t="s">
        <v>579</v>
      </c>
      <c r="F271" s="54" t="s">
        <v>2575</v>
      </c>
      <c r="G271" s="54" t="s">
        <v>2575</v>
      </c>
      <c r="H271" s="53" t="s">
        <v>2575</v>
      </c>
      <c r="I271" s="53" t="s">
        <v>2575</v>
      </c>
      <c r="J271" s="53" t="s">
        <v>537</v>
      </c>
      <c r="K271" s="53" t="s">
        <v>525</v>
      </c>
      <c r="L271" s="266" t="s">
        <v>591</v>
      </c>
    </row>
    <row r="272" spans="2:12" ht="12" x14ac:dyDescent="0.3">
      <c r="B272" s="262">
        <v>268</v>
      </c>
      <c r="C272" s="59" t="s">
        <v>1973</v>
      </c>
      <c r="D272" s="53" t="s">
        <v>1472</v>
      </c>
      <c r="E272" s="54" t="s">
        <v>634</v>
      </c>
      <c r="F272" s="54" t="s">
        <v>2575</v>
      </c>
      <c r="G272" s="54" t="s">
        <v>2575</v>
      </c>
      <c r="H272" s="53" t="s">
        <v>2575</v>
      </c>
      <c r="I272" s="53" t="s">
        <v>2575</v>
      </c>
      <c r="J272" s="53" t="s">
        <v>995</v>
      </c>
      <c r="K272" s="53" t="s">
        <v>638</v>
      </c>
      <c r="L272" s="266" t="s">
        <v>1473</v>
      </c>
    </row>
    <row r="273" spans="2:12" ht="12" x14ac:dyDescent="0.3">
      <c r="B273" s="262">
        <v>269</v>
      </c>
      <c r="C273" s="59" t="s">
        <v>1975</v>
      </c>
      <c r="D273" s="53" t="s">
        <v>1487</v>
      </c>
      <c r="E273" s="54" t="s">
        <v>634</v>
      </c>
      <c r="F273" s="54" t="s">
        <v>2575</v>
      </c>
      <c r="G273" s="54" t="s">
        <v>2575</v>
      </c>
      <c r="H273" s="53" t="s">
        <v>2575</v>
      </c>
      <c r="I273" s="53" t="s">
        <v>2575</v>
      </c>
      <c r="J273" s="53" t="s">
        <v>1397</v>
      </c>
      <c r="K273" s="53" t="s">
        <v>638</v>
      </c>
      <c r="L273" s="266" t="s">
        <v>1473</v>
      </c>
    </row>
    <row r="274" spans="2:12" ht="12" x14ac:dyDescent="0.3">
      <c r="B274" s="262">
        <v>270</v>
      </c>
      <c r="C274" s="59" t="s">
        <v>1976</v>
      </c>
      <c r="D274" s="53" t="s">
        <v>1977</v>
      </c>
      <c r="E274" s="54" t="s">
        <v>2459</v>
      </c>
      <c r="F274" s="54" t="s">
        <v>2575</v>
      </c>
      <c r="G274" s="54" t="s">
        <v>2575</v>
      </c>
      <c r="H274" s="53" t="s">
        <v>2575</v>
      </c>
      <c r="I274" s="53" t="s">
        <v>2575</v>
      </c>
      <c r="J274" s="53" t="s">
        <v>537</v>
      </c>
      <c r="K274" s="53" t="s">
        <v>482</v>
      </c>
      <c r="L274" s="266" t="s">
        <v>629</v>
      </c>
    </row>
    <row r="275" spans="2:12" ht="24" x14ac:dyDescent="0.3">
      <c r="B275" s="262">
        <v>271</v>
      </c>
      <c r="C275" s="59" t="s">
        <v>1979</v>
      </c>
      <c r="D275" s="53" t="s">
        <v>1980</v>
      </c>
      <c r="E275" s="54" t="s">
        <v>612</v>
      </c>
      <c r="F275" s="54" t="s">
        <v>2575</v>
      </c>
      <c r="G275" s="54" t="s">
        <v>2575</v>
      </c>
      <c r="H275" s="53" t="s">
        <v>2575</v>
      </c>
      <c r="I275" s="53" t="s">
        <v>2575</v>
      </c>
      <c r="J275" s="53" t="s">
        <v>524</v>
      </c>
      <c r="K275" s="53" t="s">
        <v>643</v>
      </c>
      <c r="L275" s="266" t="s">
        <v>591</v>
      </c>
    </row>
    <row r="276" spans="2:12" ht="12" x14ac:dyDescent="0.3">
      <c r="B276" s="262">
        <v>272</v>
      </c>
      <c r="C276" s="59" t="s">
        <v>1981</v>
      </c>
      <c r="D276" s="53" t="s">
        <v>1489</v>
      </c>
      <c r="E276" s="54" t="s">
        <v>634</v>
      </c>
      <c r="F276" s="54" t="s">
        <v>2575</v>
      </c>
      <c r="G276" s="54" t="s">
        <v>2575</v>
      </c>
      <c r="H276" s="53" t="s">
        <v>2575</v>
      </c>
      <c r="I276" s="53" t="s">
        <v>2575</v>
      </c>
      <c r="J276" s="53" t="s">
        <v>1490</v>
      </c>
      <c r="K276" s="53" t="s">
        <v>638</v>
      </c>
      <c r="L276" s="266" t="s">
        <v>1473</v>
      </c>
    </row>
    <row r="277" spans="2:12" ht="12" x14ac:dyDescent="0.3">
      <c r="B277" s="262">
        <v>273</v>
      </c>
      <c r="C277" s="59" t="s">
        <v>1982</v>
      </c>
      <c r="D277" s="53" t="s">
        <v>1983</v>
      </c>
      <c r="E277" s="54" t="s">
        <v>1984</v>
      </c>
      <c r="F277" s="54" t="s">
        <v>2575</v>
      </c>
      <c r="G277" s="54" t="s">
        <v>2575</v>
      </c>
      <c r="H277" s="53" t="s">
        <v>2575</v>
      </c>
      <c r="I277" s="53" t="s">
        <v>2575</v>
      </c>
      <c r="J277" s="53" t="s">
        <v>1699</v>
      </c>
      <c r="K277" s="53" t="s">
        <v>482</v>
      </c>
      <c r="L277" s="266" t="s">
        <v>1473</v>
      </c>
    </row>
    <row r="278" spans="2:12" ht="12" x14ac:dyDescent="0.3">
      <c r="B278" s="262">
        <v>274</v>
      </c>
      <c r="C278" s="59" t="s">
        <v>1985</v>
      </c>
      <c r="D278" s="53" t="s">
        <v>1987</v>
      </c>
      <c r="E278" s="54" t="s">
        <v>1988</v>
      </c>
      <c r="F278" s="54" t="s">
        <v>2575</v>
      </c>
      <c r="G278" s="54" t="s">
        <v>2575</v>
      </c>
      <c r="H278" s="53" t="s">
        <v>2575</v>
      </c>
      <c r="I278" s="53" t="s">
        <v>2575</v>
      </c>
      <c r="J278" s="53" t="s">
        <v>1840</v>
      </c>
      <c r="K278" s="53" t="s">
        <v>494</v>
      </c>
      <c r="L278" s="266" t="s">
        <v>1748</v>
      </c>
    </row>
    <row r="279" spans="2:12" ht="24" x14ac:dyDescent="0.3">
      <c r="B279" s="262">
        <v>275</v>
      </c>
      <c r="C279" s="59" t="s">
        <v>1989</v>
      </c>
      <c r="D279" s="53" t="s">
        <v>1476</v>
      </c>
      <c r="E279" s="54" t="s">
        <v>612</v>
      </c>
      <c r="F279" s="54" t="s">
        <v>2575</v>
      </c>
      <c r="G279" s="54" t="s">
        <v>2575</v>
      </c>
      <c r="H279" s="53" t="s">
        <v>2575</v>
      </c>
      <c r="I279" s="53" t="s">
        <v>2575</v>
      </c>
      <c r="J279" s="53" t="s">
        <v>524</v>
      </c>
      <c r="K279" s="53" t="s">
        <v>643</v>
      </c>
      <c r="L279" s="266" t="s">
        <v>1473</v>
      </c>
    </row>
    <row r="280" spans="2:12" ht="12" x14ac:dyDescent="0.3">
      <c r="B280" s="262">
        <v>276</v>
      </c>
      <c r="C280" s="59" t="s">
        <v>1991</v>
      </c>
      <c r="D280" s="53" t="s">
        <v>1492</v>
      </c>
      <c r="E280" s="54" t="s">
        <v>1493</v>
      </c>
      <c r="F280" s="54" t="s">
        <v>2575</v>
      </c>
      <c r="G280" s="54" t="s">
        <v>2575</v>
      </c>
      <c r="H280" s="53" t="s">
        <v>2575</v>
      </c>
      <c r="I280" s="53" t="s">
        <v>2575</v>
      </c>
      <c r="J280" s="53" t="s">
        <v>537</v>
      </c>
      <c r="K280" s="53" t="s">
        <v>1992</v>
      </c>
      <c r="L280" s="266" t="s">
        <v>1473</v>
      </c>
    </row>
    <row r="281" spans="2:12" ht="12" x14ac:dyDescent="0.3">
      <c r="B281" s="262">
        <v>277</v>
      </c>
      <c r="C281" s="59" t="s">
        <v>1993</v>
      </c>
      <c r="D281" s="53" t="s">
        <v>1496</v>
      </c>
      <c r="E281" s="54" t="s">
        <v>1497</v>
      </c>
      <c r="F281" s="54" t="s">
        <v>2575</v>
      </c>
      <c r="G281" s="54" t="s">
        <v>2575</v>
      </c>
      <c r="H281" s="53" t="s">
        <v>2575</v>
      </c>
      <c r="I281" s="53" t="s">
        <v>2575</v>
      </c>
      <c r="J281" s="53" t="s">
        <v>524</v>
      </c>
      <c r="K281" s="53" t="s">
        <v>1992</v>
      </c>
      <c r="L281" s="266" t="s">
        <v>1473</v>
      </c>
    </row>
    <row r="282" spans="2:12" ht="12" x14ac:dyDescent="0.3">
      <c r="B282" s="262">
        <v>278</v>
      </c>
      <c r="C282" s="59" t="s">
        <v>1995</v>
      </c>
      <c r="D282" s="53" t="s">
        <v>1472</v>
      </c>
      <c r="E282" s="54" t="s">
        <v>634</v>
      </c>
      <c r="F282" s="54" t="s">
        <v>2575</v>
      </c>
      <c r="G282" s="54" t="s">
        <v>2575</v>
      </c>
      <c r="H282" s="53" t="s">
        <v>2575</v>
      </c>
      <c r="I282" s="53" t="s">
        <v>2575</v>
      </c>
      <c r="J282" s="53" t="s">
        <v>995</v>
      </c>
      <c r="K282" s="53" t="s">
        <v>638</v>
      </c>
      <c r="L282" s="266" t="s">
        <v>1473</v>
      </c>
    </row>
    <row r="283" spans="2:12" ht="12" x14ac:dyDescent="0.3">
      <c r="B283" s="262">
        <v>279</v>
      </c>
      <c r="C283" s="59" t="s">
        <v>1996</v>
      </c>
      <c r="D283" s="53" t="s">
        <v>1539</v>
      </c>
      <c r="E283" s="54" t="s">
        <v>673</v>
      </c>
      <c r="F283" s="54" t="s">
        <v>2575</v>
      </c>
      <c r="G283" s="54" t="s">
        <v>2575</v>
      </c>
      <c r="H283" s="53" t="s">
        <v>2575</v>
      </c>
      <c r="I283" s="53" t="s">
        <v>2575</v>
      </c>
      <c r="J283" s="53" t="s">
        <v>995</v>
      </c>
      <c r="K283" s="53" t="s">
        <v>638</v>
      </c>
      <c r="L283" s="266" t="s">
        <v>1537</v>
      </c>
    </row>
    <row r="284" spans="2:12" ht="24" x14ac:dyDescent="0.3">
      <c r="B284" s="262">
        <v>280</v>
      </c>
      <c r="C284" s="59" t="s">
        <v>1999</v>
      </c>
      <c r="D284" s="53" t="s">
        <v>2000</v>
      </c>
      <c r="E284" s="54" t="s">
        <v>710</v>
      </c>
      <c r="F284" s="54" t="s">
        <v>2575</v>
      </c>
      <c r="G284" s="54" t="s">
        <v>2575</v>
      </c>
      <c r="H284" s="53" t="s">
        <v>2575</v>
      </c>
      <c r="I284" s="53" t="s">
        <v>2575</v>
      </c>
      <c r="J284" s="53" t="s">
        <v>747</v>
      </c>
      <c r="K284" s="53" t="s">
        <v>694</v>
      </c>
      <c r="L284" s="266" t="s">
        <v>1473</v>
      </c>
    </row>
    <row r="285" spans="2:12" ht="12" x14ac:dyDescent="0.3">
      <c r="B285" s="262">
        <v>281</v>
      </c>
      <c r="C285" s="59" t="s">
        <v>2001</v>
      </c>
      <c r="D285" s="53" t="s">
        <v>1499</v>
      </c>
      <c r="E285" s="54" t="s">
        <v>673</v>
      </c>
      <c r="F285" s="54" t="s">
        <v>2575</v>
      </c>
      <c r="G285" s="54" t="s">
        <v>2575</v>
      </c>
      <c r="H285" s="53" t="s">
        <v>2575</v>
      </c>
      <c r="I285" s="53" t="s">
        <v>2575</v>
      </c>
      <c r="J285" s="53" t="s">
        <v>1397</v>
      </c>
      <c r="K285" s="53" t="s">
        <v>638</v>
      </c>
      <c r="L285" s="266" t="s">
        <v>1537</v>
      </c>
    </row>
    <row r="286" spans="2:12" ht="24" x14ac:dyDescent="0.3">
      <c r="B286" s="262">
        <v>282</v>
      </c>
      <c r="C286" s="59" t="s">
        <v>2002</v>
      </c>
      <c r="D286" s="53" t="s">
        <v>1480</v>
      </c>
      <c r="E286" s="54" t="s">
        <v>1481</v>
      </c>
      <c r="F286" s="54" t="s">
        <v>2575</v>
      </c>
      <c r="G286" s="54" t="s">
        <v>2575</v>
      </c>
      <c r="H286" s="53" t="s">
        <v>2575</v>
      </c>
      <c r="I286" s="53" t="s">
        <v>2575</v>
      </c>
      <c r="J286" s="53" t="s">
        <v>1840</v>
      </c>
      <c r="K286" s="53" t="s">
        <v>643</v>
      </c>
      <c r="L286" s="266" t="s">
        <v>1473</v>
      </c>
    </row>
    <row r="287" spans="2:12" ht="12" x14ac:dyDescent="0.3">
      <c r="B287" s="262">
        <v>283</v>
      </c>
      <c r="C287" s="59" t="s">
        <v>2004</v>
      </c>
      <c r="D287" s="53" t="s">
        <v>1489</v>
      </c>
      <c r="E287" s="54" t="s">
        <v>634</v>
      </c>
      <c r="F287" s="54" t="s">
        <v>2575</v>
      </c>
      <c r="G287" s="54" t="s">
        <v>2575</v>
      </c>
      <c r="H287" s="53" t="s">
        <v>2575</v>
      </c>
      <c r="I287" s="53" t="s">
        <v>2575</v>
      </c>
      <c r="J287" s="53" t="s">
        <v>1490</v>
      </c>
      <c r="K287" s="53" t="s">
        <v>638</v>
      </c>
      <c r="L287" s="266" t="s">
        <v>1473</v>
      </c>
    </row>
    <row r="288" spans="2:12" ht="12" x14ac:dyDescent="0.3">
      <c r="B288" s="262">
        <v>284</v>
      </c>
      <c r="C288" s="59" t="s">
        <v>2005</v>
      </c>
      <c r="D288" s="53" t="s">
        <v>1539</v>
      </c>
      <c r="E288" s="54" t="s">
        <v>673</v>
      </c>
      <c r="F288" s="54" t="s">
        <v>2575</v>
      </c>
      <c r="G288" s="54" t="s">
        <v>2575</v>
      </c>
      <c r="H288" s="53" t="s">
        <v>2575</v>
      </c>
      <c r="I288" s="53" t="s">
        <v>2575</v>
      </c>
      <c r="J288" s="53" t="s">
        <v>995</v>
      </c>
      <c r="K288" s="53" t="s">
        <v>638</v>
      </c>
      <c r="L288" s="266" t="s">
        <v>1537</v>
      </c>
    </row>
    <row r="289" spans="2:12" ht="12" x14ac:dyDescent="0.3">
      <c r="B289" s="262">
        <v>285</v>
      </c>
      <c r="C289" s="59" t="s">
        <v>2006</v>
      </c>
      <c r="D289" s="53" t="s">
        <v>1522</v>
      </c>
      <c r="E289" s="54" t="s">
        <v>727</v>
      </c>
      <c r="F289" s="54" t="s">
        <v>2575</v>
      </c>
      <c r="G289" s="54" t="s">
        <v>2575</v>
      </c>
      <c r="H289" s="53" t="s">
        <v>2575</v>
      </c>
      <c r="I289" s="53" t="s">
        <v>2575</v>
      </c>
      <c r="J289" s="53" t="s">
        <v>988</v>
      </c>
      <c r="K289" s="53" t="s">
        <v>731</v>
      </c>
      <c r="L289" s="266" t="s">
        <v>1511</v>
      </c>
    </row>
    <row r="290" spans="2:12" ht="12" x14ac:dyDescent="0.3">
      <c r="B290" s="262">
        <v>286</v>
      </c>
      <c r="C290" s="59" t="s">
        <v>2008</v>
      </c>
      <c r="D290" s="53" t="s">
        <v>1528</v>
      </c>
      <c r="E290" s="54" t="s">
        <v>1006</v>
      </c>
      <c r="F290" s="54" t="s">
        <v>2575</v>
      </c>
      <c r="G290" s="54" t="s">
        <v>2575</v>
      </c>
      <c r="H290" s="53" t="s">
        <v>2575</v>
      </c>
      <c r="I290" s="53" t="s">
        <v>2575</v>
      </c>
      <c r="J290" s="53" t="s">
        <v>1009</v>
      </c>
      <c r="K290" s="53" t="s">
        <v>731</v>
      </c>
      <c r="L290" s="266" t="s">
        <v>1511</v>
      </c>
    </row>
    <row r="291" spans="2:12" ht="24" x14ac:dyDescent="0.3">
      <c r="B291" s="262">
        <v>287</v>
      </c>
      <c r="C291" s="59" t="s">
        <v>2009</v>
      </c>
      <c r="D291" s="53" t="s">
        <v>1504</v>
      </c>
      <c r="E291" s="54" t="s">
        <v>786</v>
      </c>
      <c r="F291" s="54" t="s">
        <v>2575</v>
      </c>
      <c r="G291" s="54" t="s">
        <v>2575</v>
      </c>
      <c r="H291" s="53" t="s">
        <v>2575</v>
      </c>
      <c r="I291" s="53" t="s">
        <v>2575</v>
      </c>
      <c r="J291" s="53" t="s">
        <v>747</v>
      </c>
      <c r="K291" s="53" t="s">
        <v>694</v>
      </c>
      <c r="L291" s="266" t="s">
        <v>1511</v>
      </c>
    </row>
    <row r="292" spans="2:12" ht="12" x14ac:dyDescent="0.3">
      <c r="B292" s="262">
        <v>288</v>
      </c>
      <c r="C292" s="59" t="s">
        <v>2010</v>
      </c>
      <c r="D292" s="53" t="s">
        <v>1499</v>
      </c>
      <c r="E292" s="54" t="s">
        <v>673</v>
      </c>
      <c r="F292" s="54" t="s">
        <v>2575</v>
      </c>
      <c r="G292" s="54" t="s">
        <v>2575</v>
      </c>
      <c r="H292" s="53" t="s">
        <v>2575</v>
      </c>
      <c r="I292" s="53" t="s">
        <v>2575</v>
      </c>
      <c r="J292" s="53" t="s">
        <v>1397</v>
      </c>
      <c r="K292" s="53" t="s">
        <v>638</v>
      </c>
      <c r="L292" s="266" t="s">
        <v>1537</v>
      </c>
    </row>
    <row r="293" spans="2:12" ht="12" x14ac:dyDescent="0.3">
      <c r="B293" s="262">
        <v>289</v>
      </c>
      <c r="C293" s="59" t="s">
        <v>2011</v>
      </c>
      <c r="D293" s="53" t="s">
        <v>1526</v>
      </c>
      <c r="E293" s="54" t="s">
        <v>1006</v>
      </c>
      <c r="F293" s="54" t="s">
        <v>2575</v>
      </c>
      <c r="G293" s="54" t="s">
        <v>2575</v>
      </c>
      <c r="H293" s="53" t="s">
        <v>2575</v>
      </c>
      <c r="I293" s="53" t="s">
        <v>2575</v>
      </c>
      <c r="J293" s="53" t="s">
        <v>1490</v>
      </c>
      <c r="K293" s="53" t="s">
        <v>704</v>
      </c>
      <c r="L293" s="266" t="s">
        <v>1505</v>
      </c>
    </row>
    <row r="294" spans="2:12" ht="24" x14ac:dyDescent="0.3">
      <c r="B294" s="262">
        <v>290</v>
      </c>
      <c r="C294" s="59" t="s">
        <v>2013</v>
      </c>
      <c r="D294" s="53" t="s">
        <v>2014</v>
      </c>
      <c r="E294" s="54" t="s">
        <v>816</v>
      </c>
      <c r="F294" s="54" t="s">
        <v>2575</v>
      </c>
      <c r="G294" s="54" t="s">
        <v>2575</v>
      </c>
      <c r="H294" s="53" t="s">
        <v>2575</v>
      </c>
      <c r="I294" s="53" t="s">
        <v>2575</v>
      </c>
      <c r="J294" s="53" t="s">
        <v>988</v>
      </c>
      <c r="K294" s="53" t="s">
        <v>821</v>
      </c>
      <c r="L294" s="266" t="s">
        <v>1511</v>
      </c>
    </row>
    <row r="295" spans="2:12" ht="24" x14ac:dyDescent="0.3">
      <c r="B295" s="262">
        <v>291</v>
      </c>
      <c r="C295" s="59" t="s">
        <v>2016</v>
      </c>
      <c r="D295" s="53" t="s">
        <v>1552</v>
      </c>
      <c r="E295" s="54" t="s">
        <v>1508</v>
      </c>
      <c r="F295" s="54" t="s">
        <v>2575</v>
      </c>
      <c r="G295" s="54" t="s">
        <v>2575</v>
      </c>
      <c r="H295" s="53" t="s">
        <v>2575</v>
      </c>
      <c r="I295" s="53" t="s">
        <v>2575</v>
      </c>
      <c r="J295" s="53" t="s">
        <v>988</v>
      </c>
      <c r="K295" s="53" t="s">
        <v>790</v>
      </c>
      <c r="L295" s="266" t="s">
        <v>1511</v>
      </c>
    </row>
    <row r="296" spans="2:12" ht="24" x14ac:dyDescent="0.3">
      <c r="B296" s="262">
        <v>292</v>
      </c>
      <c r="C296" s="59" t="s">
        <v>2017</v>
      </c>
      <c r="D296" s="53" t="s">
        <v>1517</v>
      </c>
      <c r="E296" s="54" t="s">
        <v>830</v>
      </c>
      <c r="F296" s="54" t="s">
        <v>2575</v>
      </c>
      <c r="G296" s="54" t="s">
        <v>2575</v>
      </c>
      <c r="H296" s="53" t="s">
        <v>2575</v>
      </c>
      <c r="I296" s="53" t="s">
        <v>2575</v>
      </c>
      <c r="J296" s="53" t="s">
        <v>988</v>
      </c>
      <c r="K296" s="53" t="s">
        <v>1518</v>
      </c>
      <c r="L296" s="266" t="s">
        <v>1532</v>
      </c>
    </row>
    <row r="297" spans="2:12" ht="24" x14ac:dyDescent="0.3">
      <c r="B297" s="262">
        <v>293</v>
      </c>
      <c r="C297" s="59" t="s">
        <v>2019</v>
      </c>
      <c r="D297" s="53" t="s">
        <v>1520</v>
      </c>
      <c r="E297" s="54" t="s">
        <v>816</v>
      </c>
      <c r="F297" s="54" t="s">
        <v>2575</v>
      </c>
      <c r="G297" s="54" t="s">
        <v>2575</v>
      </c>
      <c r="H297" s="53" t="s">
        <v>2575</v>
      </c>
      <c r="I297" s="53" t="s">
        <v>2575</v>
      </c>
      <c r="J297" s="53" t="s">
        <v>995</v>
      </c>
      <c r="K297" s="53" t="s">
        <v>821</v>
      </c>
      <c r="L297" s="266" t="s">
        <v>1532</v>
      </c>
    </row>
    <row r="298" spans="2:12" ht="24" x14ac:dyDescent="0.3">
      <c r="B298" s="262">
        <v>294</v>
      </c>
      <c r="C298" s="59" t="s">
        <v>2020</v>
      </c>
      <c r="D298" s="53" t="s">
        <v>1545</v>
      </c>
      <c r="E298" s="54" t="s">
        <v>1546</v>
      </c>
      <c r="F298" s="54" t="s">
        <v>2575</v>
      </c>
      <c r="G298" s="54" t="s">
        <v>2575</v>
      </c>
      <c r="H298" s="53" t="s">
        <v>2575</v>
      </c>
      <c r="I298" s="53" t="s">
        <v>2575</v>
      </c>
      <c r="J298" s="53" t="s">
        <v>1009</v>
      </c>
      <c r="K298" s="53" t="s">
        <v>863</v>
      </c>
      <c r="L298" s="266" t="s">
        <v>1532</v>
      </c>
    </row>
    <row r="299" spans="2:12" ht="12" x14ac:dyDescent="0.3">
      <c r="B299" s="262">
        <v>295</v>
      </c>
      <c r="C299" s="59" t="s">
        <v>2022</v>
      </c>
      <c r="D299" s="53" t="s">
        <v>1557</v>
      </c>
      <c r="E299" s="54" t="s">
        <v>992</v>
      </c>
      <c r="F299" s="54" t="s">
        <v>2575</v>
      </c>
      <c r="G299" s="54" t="s">
        <v>2575</v>
      </c>
      <c r="H299" s="53" t="s">
        <v>2575</v>
      </c>
      <c r="I299" s="53" t="s">
        <v>2575</v>
      </c>
      <c r="J299" s="53" t="s">
        <v>995</v>
      </c>
      <c r="K299" s="53" t="s">
        <v>790</v>
      </c>
      <c r="L299" s="266" t="s">
        <v>1532</v>
      </c>
    </row>
    <row r="300" spans="2:12" ht="12" x14ac:dyDescent="0.3">
      <c r="B300" s="262">
        <v>296</v>
      </c>
      <c r="C300" s="59" t="s">
        <v>2024</v>
      </c>
      <c r="D300" s="53" t="s">
        <v>1560</v>
      </c>
      <c r="E300" s="54" t="s">
        <v>992</v>
      </c>
      <c r="F300" s="54" t="s">
        <v>2575</v>
      </c>
      <c r="G300" s="54" t="s">
        <v>2575</v>
      </c>
      <c r="H300" s="53" t="s">
        <v>2575</v>
      </c>
      <c r="I300" s="53" t="s">
        <v>2575</v>
      </c>
      <c r="J300" s="53" t="s">
        <v>1009</v>
      </c>
      <c r="K300" s="53" t="s">
        <v>821</v>
      </c>
      <c r="L300" s="266" t="s">
        <v>1561</v>
      </c>
    </row>
    <row r="301" spans="2:12" ht="24" x14ac:dyDescent="0.3">
      <c r="B301" s="262">
        <v>297</v>
      </c>
      <c r="C301" s="59" t="s">
        <v>2025</v>
      </c>
      <c r="D301" s="53" t="s">
        <v>2026</v>
      </c>
      <c r="E301" s="54" t="s">
        <v>1082</v>
      </c>
      <c r="F301" s="54" t="s">
        <v>2575</v>
      </c>
      <c r="G301" s="54" t="s">
        <v>2575</v>
      </c>
      <c r="H301" s="53" t="s">
        <v>2575</v>
      </c>
      <c r="I301" s="53" t="s">
        <v>2575</v>
      </c>
      <c r="J301" s="53" t="s">
        <v>979</v>
      </c>
      <c r="K301" s="53" t="s">
        <v>1591</v>
      </c>
      <c r="L301" s="266" t="s">
        <v>1558</v>
      </c>
    </row>
    <row r="302" spans="2:12" ht="24" x14ac:dyDescent="0.3">
      <c r="B302" s="262">
        <v>298</v>
      </c>
      <c r="C302" s="59" t="s">
        <v>2027</v>
      </c>
      <c r="D302" s="53" t="s">
        <v>2028</v>
      </c>
      <c r="E302" s="54" t="s">
        <v>1082</v>
      </c>
      <c r="F302" s="54" t="s">
        <v>2575</v>
      </c>
      <c r="G302" s="54" t="s">
        <v>2575</v>
      </c>
      <c r="H302" s="53" t="s">
        <v>2575</v>
      </c>
      <c r="I302" s="53" t="s">
        <v>2575</v>
      </c>
      <c r="J302" s="53" t="s">
        <v>1059</v>
      </c>
      <c r="K302" s="53" t="s">
        <v>1591</v>
      </c>
      <c r="L302" s="266" t="s">
        <v>1561</v>
      </c>
    </row>
    <row r="303" spans="2:12" ht="24" x14ac:dyDescent="0.3">
      <c r="B303" s="262">
        <v>299</v>
      </c>
      <c r="C303" s="59" t="s">
        <v>2029</v>
      </c>
      <c r="D303" s="53" t="s">
        <v>1573</v>
      </c>
      <c r="E303" s="54" t="s">
        <v>1082</v>
      </c>
      <c r="F303" s="54" t="s">
        <v>2575</v>
      </c>
      <c r="G303" s="54" t="s">
        <v>2575</v>
      </c>
      <c r="H303" s="53" t="s">
        <v>2575</v>
      </c>
      <c r="I303" s="53" t="s">
        <v>2575</v>
      </c>
      <c r="J303" s="53" t="s">
        <v>1009</v>
      </c>
      <c r="K303" s="53" t="s">
        <v>1574</v>
      </c>
      <c r="L303" s="266" t="s">
        <v>1558</v>
      </c>
    </row>
    <row r="304" spans="2:12" ht="24" x14ac:dyDescent="0.3">
      <c r="B304" s="262">
        <v>300</v>
      </c>
      <c r="C304" s="59" t="s">
        <v>2031</v>
      </c>
      <c r="D304" s="53" t="s">
        <v>1563</v>
      </c>
      <c r="E304" s="54" t="s">
        <v>1564</v>
      </c>
      <c r="F304" s="54" t="s">
        <v>2575</v>
      </c>
      <c r="G304" s="54" t="s">
        <v>2575</v>
      </c>
      <c r="H304" s="53" t="s">
        <v>2575</v>
      </c>
      <c r="I304" s="53" t="s">
        <v>2575</v>
      </c>
      <c r="J304" s="53" t="s">
        <v>988</v>
      </c>
      <c r="K304" s="53" t="s">
        <v>1518</v>
      </c>
      <c r="L304" s="266" t="s">
        <v>1561</v>
      </c>
    </row>
    <row r="305" spans="2:12" ht="24" x14ac:dyDescent="0.3">
      <c r="B305" s="262">
        <v>301</v>
      </c>
      <c r="C305" s="59" t="s">
        <v>2033</v>
      </c>
      <c r="D305" s="53" t="s">
        <v>1577</v>
      </c>
      <c r="E305" s="54" t="s">
        <v>1564</v>
      </c>
      <c r="F305" s="54" t="s">
        <v>2575</v>
      </c>
      <c r="G305" s="54" t="s">
        <v>2575</v>
      </c>
      <c r="H305" s="53" t="s">
        <v>2575</v>
      </c>
      <c r="I305" s="53" t="s">
        <v>2575</v>
      </c>
      <c r="J305" s="54" t="s">
        <v>2034</v>
      </c>
      <c r="K305" s="54" t="s">
        <v>2460</v>
      </c>
      <c r="L305" s="266" t="s">
        <v>1561</v>
      </c>
    </row>
    <row r="306" spans="2:12" ht="12" x14ac:dyDescent="0.3">
      <c r="B306" s="262">
        <v>302</v>
      </c>
      <c r="C306" s="59" t="s">
        <v>2036</v>
      </c>
      <c r="D306" s="53" t="s">
        <v>1566</v>
      </c>
      <c r="E306" s="54" t="s">
        <v>992</v>
      </c>
      <c r="F306" s="54" t="s">
        <v>2575</v>
      </c>
      <c r="G306" s="54" t="s">
        <v>2575</v>
      </c>
      <c r="H306" s="53" t="s">
        <v>2575</v>
      </c>
      <c r="I306" s="53" t="s">
        <v>2575</v>
      </c>
      <c r="J306" s="53" t="s">
        <v>995</v>
      </c>
      <c r="K306" s="53" t="s">
        <v>790</v>
      </c>
      <c r="L306" s="266" t="s">
        <v>1561</v>
      </c>
    </row>
    <row r="307" spans="2:12" ht="12" x14ac:dyDescent="0.3">
      <c r="B307" s="262">
        <v>303</v>
      </c>
      <c r="C307" s="59" t="s">
        <v>2037</v>
      </c>
      <c r="D307" s="53" t="s">
        <v>1580</v>
      </c>
      <c r="E307" s="54" t="s">
        <v>1581</v>
      </c>
      <c r="F307" s="54" t="s">
        <v>2575</v>
      </c>
      <c r="G307" s="54" t="s">
        <v>2575</v>
      </c>
      <c r="H307" s="53" t="s">
        <v>2575</v>
      </c>
      <c r="I307" s="53" t="s">
        <v>2575</v>
      </c>
      <c r="J307" s="53" t="s">
        <v>970</v>
      </c>
      <c r="K307" s="53" t="s">
        <v>790</v>
      </c>
      <c r="L307" s="266" t="s">
        <v>1561</v>
      </c>
    </row>
    <row r="308" spans="2:12" ht="12" x14ac:dyDescent="0.3">
      <c r="B308" s="262">
        <v>304</v>
      </c>
      <c r="C308" s="59" t="s">
        <v>2039</v>
      </c>
      <c r="D308" s="53" t="s">
        <v>1583</v>
      </c>
      <c r="E308" s="54" t="s">
        <v>1584</v>
      </c>
      <c r="F308" s="54" t="s">
        <v>2575</v>
      </c>
      <c r="G308" s="54" t="s">
        <v>2575</v>
      </c>
      <c r="H308" s="53" t="s">
        <v>2575</v>
      </c>
      <c r="I308" s="53" t="s">
        <v>2575</v>
      </c>
      <c r="J308" s="53" t="s">
        <v>988</v>
      </c>
      <c r="K308" s="53" t="s">
        <v>790</v>
      </c>
      <c r="L308" s="266" t="s">
        <v>1532</v>
      </c>
    </row>
    <row r="309" spans="2:12" ht="24" x14ac:dyDescent="0.3">
      <c r="B309" s="262">
        <v>305</v>
      </c>
      <c r="C309" s="59" t="s">
        <v>2041</v>
      </c>
      <c r="D309" s="53" t="s">
        <v>1586</v>
      </c>
      <c r="E309" s="54" t="s">
        <v>1587</v>
      </c>
      <c r="F309" s="54" t="s">
        <v>2575</v>
      </c>
      <c r="G309" s="54" t="s">
        <v>2575</v>
      </c>
      <c r="H309" s="53" t="s">
        <v>2575</v>
      </c>
      <c r="I309" s="53" t="s">
        <v>2575</v>
      </c>
      <c r="J309" s="53" t="s">
        <v>988</v>
      </c>
      <c r="K309" s="53" t="s">
        <v>1518</v>
      </c>
      <c r="L309" s="266" t="s">
        <v>1558</v>
      </c>
    </row>
    <row r="310" spans="2:12" ht="24" x14ac:dyDescent="0.3">
      <c r="B310" s="262">
        <v>306</v>
      </c>
      <c r="C310" s="59" t="s">
        <v>2044</v>
      </c>
      <c r="D310" s="53" t="s">
        <v>2045</v>
      </c>
      <c r="E310" s="54" t="s">
        <v>1587</v>
      </c>
      <c r="F310" s="54" t="s">
        <v>2575</v>
      </c>
      <c r="G310" s="54" t="s">
        <v>2575</v>
      </c>
      <c r="H310" s="53" t="s">
        <v>2575</v>
      </c>
      <c r="I310" s="53" t="s">
        <v>2575</v>
      </c>
      <c r="J310" s="54" t="s">
        <v>2034</v>
      </c>
      <c r="K310" s="54" t="s">
        <v>2046</v>
      </c>
      <c r="L310" s="266" t="s">
        <v>1558</v>
      </c>
    </row>
    <row r="311" spans="2:12" ht="24" x14ac:dyDescent="0.3">
      <c r="B311" s="262">
        <v>307</v>
      </c>
      <c r="C311" s="59" t="s">
        <v>2047</v>
      </c>
      <c r="D311" s="53" t="s">
        <v>1590</v>
      </c>
      <c r="E311" s="54" t="s">
        <v>1132</v>
      </c>
      <c r="F311" s="54" t="s">
        <v>2575</v>
      </c>
      <c r="G311" s="54" t="s">
        <v>2575</v>
      </c>
      <c r="H311" s="53" t="s">
        <v>2575</v>
      </c>
      <c r="I311" s="53" t="s">
        <v>2575</v>
      </c>
      <c r="J311" s="53" t="s">
        <v>979</v>
      </c>
      <c r="K311" s="53" t="s">
        <v>738</v>
      </c>
      <c r="L311" s="266" t="s">
        <v>1558</v>
      </c>
    </row>
    <row r="312" spans="2:12" ht="24" x14ac:dyDescent="0.3">
      <c r="B312" s="262">
        <v>308</v>
      </c>
      <c r="C312" s="59" t="s">
        <v>2049</v>
      </c>
      <c r="D312" s="53" t="s">
        <v>1593</v>
      </c>
      <c r="E312" s="54" t="s">
        <v>1132</v>
      </c>
      <c r="F312" s="54" t="s">
        <v>2575</v>
      </c>
      <c r="G312" s="54" t="s">
        <v>2575</v>
      </c>
      <c r="H312" s="53" t="s">
        <v>2575</v>
      </c>
      <c r="I312" s="53" t="s">
        <v>2575</v>
      </c>
      <c r="J312" s="53" t="s">
        <v>1059</v>
      </c>
      <c r="K312" s="53" t="s">
        <v>738</v>
      </c>
      <c r="L312" s="266" t="s">
        <v>1558</v>
      </c>
    </row>
    <row r="313" spans="2:12" ht="24" x14ac:dyDescent="0.3">
      <c r="B313" s="262">
        <v>309</v>
      </c>
      <c r="C313" s="59" t="s">
        <v>2050</v>
      </c>
      <c r="D313" s="53" t="s">
        <v>1597</v>
      </c>
      <c r="E313" s="54" t="s">
        <v>1132</v>
      </c>
      <c r="F313" s="54" t="s">
        <v>2575</v>
      </c>
      <c r="G313" s="54" t="s">
        <v>2575</v>
      </c>
      <c r="H313" s="53" t="s">
        <v>2575</v>
      </c>
      <c r="I313" s="53" t="s">
        <v>2575</v>
      </c>
      <c r="J313" s="53" t="s">
        <v>1009</v>
      </c>
      <c r="K313" s="53" t="s">
        <v>1555</v>
      </c>
      <c r="L313" s="266" t="s">
        <v>1558</v>
      </c>
    </row>
    <row r="314" spans="2:12" ht="12" x14ac:dyDescent="0.3">
      <c r="B314" s="262">
        <v>310</v>
      </c>
      <c r="C314" s="59" t="s">
        <v>2052</v>
      </c>
      <c r="D314" s="53" t="s">
        <v>1600</v>
      </c>
      <c r="E314" s="54" t="s">
        <v>1601</v>
      </c>
      <c r="F314" s="54" t="s">
        <v>2575</v>
      </c>
      <c r="G314" s="54" t="s">
        <v>2575</v>
      </c>
      <c r="H314" s="53" t="s">
        <v>2575</v>
      </c>
      <c r="I314" s="53" t="s">
        <v>2575</v>
      </c>
      <c r="J314" s="53" t="s">
        <v>1059</v>
      </c>
      <c r="K314" s="53" t="s">
        <v>738</v>
      </c>
      <c r="L314" s="266" t="s">
        <v>1575</v>
      </c>
    </row>
    <row r="315" spans="2:12" ht="12" x14ac:dyDescent="0.3">
      <c r="B315" s="262">
        <v>311</v>
      </c>
      <c r="C315" s="59" t="s">
        <v>2054</v>
      </c>
      <c r="D315" s="53" t="s">
        <v>2055</v>
      </c>
      <c r="E315" s="54" t="s">
        <v>1581</v>
      </c>
      <c r="F315" s="54" t="s">
        <v>2575</v>
      </c>
      <c r="G315" s="54" t="s">
        <v>2575</v>
      </c>
      <c r="H315" s="53" t="s">
        <v>2575</v>
      </c>
      <c r="I315" s="53" t="s">
        <v>2575</v>
      </c>
      <c r="J315" s="53" t="s">
        <v>747</v>
      </c>
      <c r="K315" s="53" t="s">
        <v>790</v>
      </c>
      <c r="L315" s="266" t="s">
        <v>1561</v>
      </c>
    </row>
    <row r="316" spans="2:12" ht="24" x14ac:dyDescent="0.3">
      <c r="B316" s="262">
        <v>312</v>
      </c>
      <c r="C316" s="59" t="s">
        <v>2056</v>
      </c>
      <c r="D316" s="53" t="s">
        <v>1603</v>
      </c>
      <c r="E316" s="54" t="s">
        <v>1604</v>
      </c>
      <c r="F316" s="54" t="s">
        <v>2575</v>
      </c>
      <c r="G316" s="54" t="s">
        <v>2575</v>
      </c>
      <c r="H316" s="53" t="s">
        <v>2575</v>
      </c>
      <c r="I316" s="53" t="s">
        <v>2575</v>
      </c>
      <c r="J316" s="53" t="s">
        <v>1059</v>
      </c>
      <c r="K316" s="53" t="s">
        <v>1605</v>
      </c>
      <c r="L316" s="266" t="s">
        <v>1561</v>
      </c>
    </row>
    <row r="317" spans="2:12" ht="12" x14ac:dyDescent="0.3">
      <c r="B317" s="262">
        <v>313</v>
      </c>
      <c r="C317" s="59" t="s">
        <v>2058</v>
      </c>
      <c r="D317" s="53" t="s">
        <v>2059</v>
      </c>
      <c r="E317" s="54" t="s">
        <v>1138</v>
      </c>
      <c r="F317" s="54" t="s">
        <v>2575</v>
      </c>
      <c r="G317" s="54" t="s">
        <v>2575</v>
      </c>
      <c r="H317" s="53" t="s">
        <v>2575</v>
      </c>
      <c r="I317" s="53" t="s">
        <v>2575</v>
      </c>
      <c r="J317" s="53" t="s">
        <v>995</v>
      </c>
      <c r="K317" s="53" t="s">
        <v>738</v>
      </c>
      <c r="L317" s="266" t="s">
        <v>1558</v>
      </c>
    </row>
    <row r="318" spans="2:12" ht="12" x14ac:dyDescent="0.3">
      <c r="B318" s="262">
        <v>314</v>
      </c>
      <c r="C318" s="59" t="s">
        <v>2061</v>
      </c>
      <c r="D318" s="53" t="s">
        <v>2062</v>
      </c>
      <c r="E318" s="54" t="s">
        <v>1138</v>
      </c>
      <c r="F318" s="54" t="s">
        <v>2575</v>
      </c>
      <c r="G318" s="54" t="s">
        <v>2575</v>
      </c>
      <c r="H318" s="53" t="s">
        <v>2575</v>
      </c>
      <c r="I318" s="53" t="s">
        <v>2575</v>
      </c>
      <c r="J318" s="53" t="s">
        <v>988</v>
      </c>
      <c r="K318" s="53" t="s">
        <v>694</v>
      </c>
      <c r="L318" s="266" t="s">
        <v>1558</v>
      </c>
    </row>
    <row r="319" spans="2:12" ht="24" x14ac:dyDescent="0.3">
      <c r="B319" s="262">
        <v>315</v>
      </c>
      <c r="C319" s="59" t="s">
        <v>2063</v>
      </c>
      <c r="D319" s="53" t="s">
        <v>1614</v>
      </c>
      <c r="E319" s="54" t="s">
        <v>1615</v>
      </c>
      <c r="F319" s="54" t="s">
        <v>2575</v>
      </c>
      <c r="G319" s="54" t="s">
        <v>2575</v>
      </c>
      <c r="H319" s="53" t="s">
        <v>2575</v>
      </c>
      <c r="I319" s="53" t="s">
        <v>2575</v>
      </c>
      <c r="J319" s="53" t="s">
        <v>1009</v>
      </c>
      <c r="K319" s="53" t="s">
        <v>694</v>
      </c>
      <c r="L319" s="266" t="s">
        <v>1558</v>
      </c>
    </row>
    <row r="320" spans="2:12" ht="24" x14ac:dyDescent="0.3">
      <c r="B320" s="262">
        <v>316</v>
      </c>
      <c r="C320" s="59" t="s">
        <v>2065</v>
      </c>
      <c r="D320" s="53" t="s">
        <v>2066</v>
      </c>
      <c r="E320" s="54" t="s">
        <v>1636</v>
      </c>
      <c r="F320" s="54" t="s">
        <v>2575</v>
      </c>
      <c r="G320" s="54" t="s">
        <v>2575</v>
      </c>
      <c r="H320" s="53" t="s">
        <v>2575</v>
      </c>
      <c r="I320" s="53" t="s">
        <v>2575</v>
      </c>
      <c r="J320" s="53" t="s">
        <v>995</v>
      </c>
      <c r="K320" s="53" t="s">
        <v>1591</v>
      </c>
      <c r="L320" s="266" t="s">
        <v>1575</v>
      </c>
    </row>
    <row r="321" spans="2:12" ht="24" x14ac:dyDescent="0.3">
      <c r="B321" s="262">
        <v>317</v>
      </c>
      <c r="C321" s="59" t="s">
        <v>2068</v>
      </c>
      <c r="D321" s="53" t="s">
        <v>1635</v>
      </c>
      <c r="E321" s="54" t="s">
        <v>1636</v>
      </c>
      <c r="F321" s="54" t="s">
        <v>2575</v>
      </c>
      <c r="G321" s="54" t="s">
        <v>2575</v>
      </c>
      <c r="H321" s="53" t="s">
        <v>2575</v>
      </c>
      <c r="I321" s="53" t="s">
        <v>2575</v>
      </c>
      <c r="J321" s="53" t="s">
        <v>988</v>
      </c>
      <c r="K321" s="53" t="s">
        <v>2069</v>
      </c>
      <c r="L321" s="266" t="s">
        <v>1575</v>
      </c>
    </row>
    <row r="322" spans="2:12" ht="24" x14ac:dyDescent="0.3">
      <c r="B322" s="262">
        <v>318</v>
      </c>
      <c r="C322" s="59" t="s">
        <v>2070</v>
      </c>
      <c r="D322" s="53" t="s">
        <v>2071</v>
      </c>
      <c r="E322" s="54" t="s">
        <v>1636</v>
      </c>
      <c r="F322" s="54" t="s">
        <v>2575</v>
      </c>
      <c r="G322" s="54" t="s">
        <v>2575</v>
      </c>
      <c r="H322" s="53" t="s">
        <v>2575</v>
      </c>
      <c r="I322" s="53" t="s">
        <v>2575</v>
      </c>
      <c r="J322" s="53" t="s">
        <v>1031</v>
      </c>
      <c r="K322" s="53" t="s">
        <v>2069</v>
      </c>
      <c r="L322" s="266" t="s">
        <v>1575</v>
      </c>
    </row>
    <row r="323" spans="2:12" ht="24" x14ac:dyDescent="0.3">
      <c r="B323" s="262">
        <v>319</v>
      </c>
      <c r="C323" s="59" t="s">
        <v>2072</v>
      </c>
      <c r="D323" s="53" t="s">
        <v>1638</v>
      </c>
      <c r="E323" s="54" t="s">
        <v>2073</v>
      </c>
      <c r="F323" s="54" t="s">
        <v>2575</v>
      </c>
      <c r="G323" s="54" t="s">
        <v>2575</v>
      </c>
      <c r="H323" s="53" t="s">
        <v>2575</v>
      </c>
      <c r="I323" s="53" t="s">
        <v>2575</v>
      </c>
      <c r="J323" s="53" t="s">
        <v>1059</v>
      </c>
      <c r="K323" s="53" t="s">
        <v>1591</v>
      </c>
      <c r="L323" s="266" t="s">
        <v>1561</v>
      </c>
    </row>
    <row r="324" spans="2:12" ht="24" x14ac:dyDescent="0.3">
      <c r="B324" s="262">
        <v>320</v>
      </c>
      <c r="C324" s="59" t="s">
        <v>2074</v>
      </c>
      <c r="D324" s="53" t="s">
        <v>1641</v>
      </c>
      <c r="E324" s="54" t="s">
        <v>1636</v>
      </c>
      <c r="F324" s="54" t="s">
        <v>2575</v>
      </c>
      <c r="G324" s="54" t="s">
        <v>2575</v>
      </c>
      <c r="H324" s="53" t="s">
        <v>2575</v>
      </c>
      <c r="I324" s="53" t="s">
        <v>2575</v>
      </c>
      <c r="J324" s="53" t="s">
        <v>988</v>
      </c>
      <c r="K324" s="53" t="s">
        <v>2069</v>
      </c>
      <c r="L324" s="266" t="s">
        <v>1575</v>
      </c>
    </row>
    <row r="325" spans="2:12" ht="24" x14ac:dyDescent="0.3">
      <c r="B325" s="262">
        <v>321</v>
      </c>
      <c r="C325" s="59" t="s">
        <v>2075</v>
      </c>
      <c r="D325" s="53" t="s">
        <v>1557</v>
      </c>
      <c r="E325" s="54" t="s">
        <v>2076</v>
      </c>
      <c r="F325" s="54" t="s">
        <v>2575</v>
      </c>
      <c r="G325" s="54" t="s">
        <v>2575</v>
      </c>
      <c r="H325" s="53" t="s">
        <v>2575</v>
      </c>
      <c r="I325" s="53" t="s">
        <v>2575</v>
      </c>
      <c r="J325" s="53" t="s">
        <v>995</v>
      </c>
      <c r="K325" s="53" t="s">
        <v>2077</v>
      </c>
      <c r="L325" s="266" t="s">
        <v>1558</v>
      </c>
    </row>
    <row r="326" spans="2:12" ht="24" x14ac:dyDescent="0.3">
      <c r="B326" s="262">
        <v>322</v>
      </c>
      <c r="C326" s="59" t="s">
        <v>2079</v>
      </c>
      <c r="D326" s="53" t="s">
        <v>1560</v>
      </c>
      <c r="E326" s="54" t="s">
        <v>2076</v>
      </c>
      <c r="F326" s="54" t="s">
        <v>2575</v>
      </c>
      <c r="G326" s="54" t="s">
        <v>2575</v>
      </c>
      <c r="H326" s="53" t="s">
        <v>2575</v>
      </c>
      <c r="I326" s="53" t="s">
        <v>2575</v>
      </c>
      <c r="J326" s="53" t="s">
        <v>1009</v>
      </c>
      <c r="K326" s="53" t="s">
        <v>2080</v>
      </c>
      <c r="L326" s="266" t="s">
        <v>1558</v>
      </c>
    </row>
    <row r="327" spans="2:12" ht="24" x14ac:dyDescent="0.3">
      <c r="B327" s="262">
        <v>323</v>
      </c>
      <c r="C327" s="59" t="s">
        <v>2081</v>
      </c>
      <c r="D327" s="53" t="s">
        <v>2026</v>
      </c>
      <c r="E327" s="54" t="s">
        <v>2082</v>
      </c>
      <c r="F327" s="54" t="s">
        <v>2575</v>
      </c>
      <c r="G327" s="54" t="s">
        <v>2575</v>
      </c>
      <c r="H327" s="53" t="s">
        <v>2575</v>
      </c>
      <c r="I327" s="53" t="s">
        <v>2575</v>
      </c>
      <c r="J327" s="53" t="s">
        <v>979</v>
      </c>
      <c r="K327" s="53" t="s">
        <v>1591</v>
      </c>
      <c r="L327" s="266" t="s">
        <v>1575</v>
      </c>
    </row>
    <row r="328" spans="2:12" ht="24" x14ac:dyDescent="0.3">
      <c r="B328" s="262">
        <v>324</v>
      </c>
      <c r="C328" s="59" t="s">
        <v>2083</v>
      </c>
      <c r="D328" s="53" t="s">
        <v>2028</v>
      </c>
      <c r="E328" s="54" t="s">
        <v>2082</v>
      </c>
      <c r="F328" s="54" t="s">
        <v>2575</v>
      </c>
      <c r="G328" s="54" t="s">
        <v>2575</v>
      </c>
      <c r="H328" s="53" t="s">
        <v>2575</v>
      </c>
      <c r="I328" s="53" t="s">
        <v>2575</v>
      </c>
      <c r="J328" s="53" t="s">
        <v>1059</v>
      </c>
      <c r="K328" s="53" t="s">
        <v>738</v>
      </c>
      <c r="L328" s="266" t="s">
        <v>1575</v>
      </c>
    </row>
    <row r="329" spans="2:12" ht="24" x14ac:dyDescent="0.3">
      <c r="B329" s="262">
        <v>325</v>
      </c>
      <c r="C329" s="59" t="s">
        <v>2084</v>
      </c>
      <c r="D329" s="53" t="s">
        <v>1573</v>
      </c>
      <c r="E329" s="54" t="s">
        <v>2082</v>
      </c>
      <c r="F329" s="54" t="s">
        <v>2575</v>
      </c>
      <c r="G329" s="54" t="s">
        <v>2575</v>
      </c>
      <c r="H329" s="53" t="s">
        <v>2575</v>
      </c>
      <c r="I329" s="53" t="s">
        <v>2575</v>
      </c>
      <c r="J329" s="53" t="s">
        <v>1009</v>
      </c>
      <c r="K329" s="53" t="s">
        <v>1555</v>
      </c>
      <c r="L329" s="266" t="s">
        <v>1575</v>
      </c>
    </row>
    <row r="330" spans="2:12" ht="24" x14ac:dyDescent="0.3">
      <c r="B330" s="262">
        <v>326</v>
      </c>
      <c r="C330" s="59" t="s">
        <v>2085</v>
      </c>
      <c r="D330" s="53" t="s">
        <v>2086</v>
      </c>
      <c r="E330" s="54" t="s">
        <v>1564</v>
      </c>
      <c r="F330" s="54" t="s">
        <v>2575</v>
      </c>
      <c r="G330" s="54" t="s">
        <v>2575</v>
      </c>
      <c r="H330" s="53" t="s">
        <v>2575</v>
      </c>
      <c r="I330" s="53" t="s">
        <v>2575</v>
      </c>
      <c r="J330" s="54" t="s">
        <v>2087</v>
      </c>
      <c r="K330" s="54" t="s">
        <v>2088</v>
      </c>
      <c r="L330" s="266" t="s">
        <v>1558</v>
      </c>
    </row>
    <row r="331" spans="2:12" ht="24" x14ac:dyDescent="0.3">
      <c r="B331" s="262">
        <v>327</v>
      </c>
      <c r="C331" s="59" t="s">
        <v>2089</v>
      </c>
      <c r="D331" s="53" t="s">
        <v>2090</v>
      </c>
      <c r="E331" s="54" t="s">
        <v>1564</v>
      </c>
      <c r="F331" s="54" t="s">
        <v>2575</v>
      </c>
      <c r="G331" s="54" t="s">
        <v>2575</v>
      </c>
      <c r="H331" s="53" t="s">
        <v>2575</v>
      </c>
      <c r="I331" s="53" t="s">
        <v>2575</v>
      </c>
      <c r="J331" s="54" t="s">
        <v>2034</v>
      </c>
      <c r="K331" s="54" t="s">
        <v>1578</v>
      </c>
      <c r="L331" s="266" t="s">
        <v>1558</v>
      </c>
    </row>
    <row r="332" spans="2:12" ht="24" x14ac:dyDescent="0.3">
      <c r="B332" s="262">
        <v>328</v>
      </c>
      <c r="C332" s="59" t="s">
        <v>2091</v>
      </c>
      <c r="D332" s="53" t="s">
        <v>1557</v>
      </c>
      <c r="E332" s="54" t="s">
        <v>2076</v>
      </c>
      <c r="F332" s="54" t="s">
        <v>2575</v>
      </c>
      <c r="G332" s="54" t="s">
        <v>2575</v>
      </c>
      <c r="H332" s="53" t="s">
        <v>2575</v>
      </c>
      <c r="I332" s="53" t="s">
        <v>2575</v>
      </c>
      <c r="J332" s="53" t="s">
        <v>995</v>
      </c>
      <c r="K332" s="53" t="s">
        <v>790</v>
      </c>
      <c r="L332" s="266" t="s">
        <v>1558</v>
      </c>
    </row>
    <row r="333" spans="2:12" ht="24" x14ac:dyDescent="0.3">
      <c r="B333" s="262">
        <v>329</v>
      </c>
      <c r="C333" s="59" t="s">
        <v>2092</v>
      </c>
      <c r="D333" s="53" t="s">
        <v>2093</v>
      </c>
      <c r="E333" s="54" t="s">
        <v>2076</v>
      </c>
      <c r="F333" s="54" t="s">
        <v>2575</v>
      </c>
      <c r="G333" s="54" t="s">
        <v>2575</v>
      </c>
      <c r="H333" s="53" t="s">
        <v>2575</v>
      </c>
      <c r="I333" s="53" t="s">
        <v>2575</v>
      </c>
      <c r="J333" s="53" t="s">
        <v>988</v>
      </c>
      <c r="K333" s="53" t="s">
        <v>790</v>
      </c>
      <c r="L333" s="266" t="s">
        <v>1558</v>
      </c>
    </row>
    <row r="334" spans="2:12" ht="24" x14ac:dyDescent="0.3">
      <c r="B334" s="262">
        <v>330</v>
      </c>
      <c r="C334" s="59" t="s">
        <v>2094</v>
      </c>
      <c r="D334" s="53" t="s">
        <v>1560</v>
      </c>
      <c r="E334" s="54" t="s">
        <v>2076</v>
      </c>
      <c r="F334" s="54" t="s">
        <v>2575</v>
      </c>
      <c r="G334" s="54" t="s">
        <v>2575</v>
      </c>
      <c r="H334" s="53" t="s">
        <v>2575</v>
      </c>
      <c r="I334" s="53" t="s">
        <v>2575</v>
      </c>
      <c r="J334" s="53" t="s">
        <v>1009</v>
      </c>
      <c r="K334" s="53" t="s">
        <v>821</v>
      </c>
      <c r="L334" s="266" t="s">
        <v>1558</v>
      </c>
    </row>
    <row r="335" spans="2:12" ht="24" x14ac:dyDescent="0.3">
      <c r="B335" s="262">
        <v>331</v>
      </c>
      <c r="C335" s="59" t="s">
        <v>2095</v>
      </c>
      <c r="D335" s="53" t="s">
        <v>1580</v>
      </c>
      <c r="E335" s="54" t="s">
        <v>2096</v>
      </c>
      <c r="F335" s="54" t="s">
        <v>2575</v>
      </c>
      <c r="G335" s="54" t="s">
        <v>2575</v>
      </c>
      <c r="H335" s="53" t="s">
        <v>2575</v>
      </c>
      <c r="I335" s="53" t="s">
        <v>2575</v>
      </c>
      <c r="J335" s="53" t="s">
        <v>970</v>
      </c>
      <c r="K335" s="53" t="s">
        <v>790</v>
      </c>
      <c r="L335" s="266" t="s">
        <v>1575</v>
      </c>
    </row>
    <row r="336" spans="2:12" ht="12" x14ac:dyDescent="0.3">
      <c r="B336" s="262">
        <v>332</v>
      </c>
      <c r="C336" s="59" t="s">
        <v>2097</v>
      </c>
      <c r="D336" s="53" t="s">
        <v>2098</v>
      </c>
      <c r="E336" s="54" t="s">
        <v>1584</v>
      </c>
      <c r="F336" s="54" t="s">
        <v>2575</v>
      </c>
      <c r="G336" s="54" t="s">
        <v>2575</v>
      </c>
      <c r="H336" s="53" t="s">
        <v>2575</v>
      </c>
      <c r="I336" s="53" t="s">
        <v>2575</v>
      </c>
      <c r="J336" s="53" t="s">
        <v>988</v>
      </c>
      <c r="K336" s="53" t="s">
        <v>790</v>
      </c>
      <c r="L336" s="266" t="s">
        <v>1575</v>
      </c>
    </row>
    <row r="337" spans="2:12" ht="24" x14ac:dyDescent="0.3">
      <c r="B337" s="262">
        <v>333</v>
      </c>
      <c r="C337" s="59" t="s">
        <v>2099</v>
      </c>
      <c r="D337" s="53" t="s">
        <v>2100</v>
      </c>
      <c r="E337" s="54" t="s">
        <v>1587</v>
      </c>
      <c r="F337" s="54" t="s">
        <v>2575</v>
      </c>
      <c r="G337" s="54" t="s">
        <v>2575</v>
      </c>
      <c r="H337" s="53" t="s">
        <v>2575</v>
      </c>
      <c r="I337" s="53" t="s">
        <v>2575</v>
      </c>
      <c r="J337" s="54" t="s">
        <v>2087</v>
      </c>
      <c r="K337" s="54" t="s">
        <v>2088</v>
      </c>
      <c r="L337" s="266" t="s">
        <v>1575</v>
      </c>
    </row>
    <row r="338" spans="2:12" ht="24" x14ac:dyDescent="0.3">
      <c r="B338" s="262">
        <v>334</v>
      </c>
      <c r="C338" s="59" t="s">
        <v>2102</v>
      </c>
      <c r="D338" s="53" t="s">
        <v>2103</v>
      </c>
      <c r="E338" s="54" t="s">
        <v>1587</v>
      </c>
      <c r="F338" s="54" t="s">
        <v>2575</v>
      </c>
      <c r="G338" s="54" t="s">
        <v>2575</v>
      </c>
      <c r="H338" s="53" t="s">
        <v>2575</v>
      </c>
      <c r="I338" s="53" t="s">
        <v>2575</v>
      </c>
      <c r="J338" s="54" t="s">
        <v>2034</v>
      </c>
      <c r="K338" s="54" t="s">
        <v>2046</v>
      </c>
      <c r="L338" s="266" t="s">
        <v>1575</v>
      </c>
    </row>
    <row r="339" spans="2:12" ht="24" x14ac:dyDescent="0.3">
      <c r="B339" s="262">
        <v>335</v>
      </c>
      <c r="C339" s="59" t="s">
        <v>2104</v>
      </c>
      <c r="D339" s="53" t="s">
        <v>1590</v>
      </c>
      <c r="E339" s="54" t="s">
        <v>1132</v>
      </c>
      <c r="F339" s="54" t="s">
        <v>2575</v>
      </c>
      <c r="G339" s="54" t="s">
        <v>2575</v>
      </c>
      <c r="H339" s="53" t="s">
        <v>2575</v>
      </c>
      <c r="I339" s="53" t="s">
        <v>2575</v>
      </c>
      <c r="J339" s="53" t="s">
        <v>979</v>
      </c>
      <c r="K339" s="53" t="s">
        <v>738</v>
      </c>
      <c r="L339" s="266" t="s">
        <v>1575</v>
      </c>
    </row>
    <row r="340" spans="2:12" ht="24" x14ac:dyDescent="0.3">
      <c r="B340" s="262">
        <v>336</v>
      </c>
      <c r="C340" s="59" t="s">
        <v>2105</v>
      </c>
      <c r="D340" s="53" t="s">
        <v>1593</v>
      </c>
      <c r="E340" s="54" t="s">
        <v>1132</v>
      </c>
      <c r="F340" s="54" t="s">
        <v>2575</v>
      </c>
      <c r="G340" s="54" t="s">
        <v>2575</v>
      </c>
      <c r="H340" s="53" t="s">
        <v>2575</v>
      </c>
      <c r="I340" s="53" t="s">
        <v>2575</v>
      </c>
      <c r="J340" s="53" t="s">
        <v>1059</v>
      </c>
      <c r="K340" s="53" t="s">
        <v>738</v>
      </c>
      <c r="L340" s="266" t="s">
        <v>1575</v>
      </c>
    </row>
    <row r="341" spans="2:12" ht="24" x14ac:dyDescent="0.3">
      <c r="B341" s="262">
        <v>337</v>
      </c>
      <c r="C341" s="59" t="s">
        <v>2106</v>
      </c>
      <c r="D341" s="53" t="s">
        <v>1597</v>
      </c>
      <c r="E341" s="54" t="s">
        <v>1132</v>
      </c>
      <c r="F341" s="54" t="s">
        <v>2575</v>
      </c>
      <c r="G341" s="54" t="s">
        <v>2575</v>
      </c>
      <c r="H341" s="53" t="s">
        <v>2575</v>
      </c>
      <c r="I341" s="53" t="s">
        <v>2575</v>
      </c>
      <c r="J341" s="53" t="s">
        <v>1009</v>
      </c>
      <c r="K341" s="53" t="s">
        <v>1555</v>
      </c>
      <c r="L341" s="266" t="s">
        <v>1575</v>
      </c>
    </row>
    <row r="342" spans="2:12" ht="12" x14ac:dyDescent="0.3">
      <c r="B342" s="262">
        <v>338</v>
      </c>
      <c r="C342" s="59" t="s">
        <v>2107</v>
      </c>
      <c r="D342" s="53" t="s">
        <v>1600</v>
      </c>
      <c r="E342" s="54" t="s">
        <v>1601</v>
      </c>
      <c r="F342" s="54" t="s">
        <v>2575</v>
      </c>
      <c r="G342" s="54" t="s">
        <v>2575</v>
      </c>
      <c r="H342" s="53" t="s">
        <v>2575</v>
      </c>
      <c r="I342" s="53" t="s">
        <v>2575</v>
      </c>
      <c r="J342" s="53" t="s">
        <v>1059</v>
      </c>
      <c r="K342" s="53" t="s">
        <v>738</v>
      </c>
      <c r="L342" s="266" t="s">
        <v>1575</v>
      </c>
    </row>
    <row r="343" spans="2:12" ht="12" x14ac:dyDescent="0.3">
      <c r="B343" s="262">
        <v>339</v>
      </c>
      <c r="C343" s="59" t="s">
        <v>2108</v>
      </c>
      <c r="D343" s="53" t="s">
        <v>2062</v>
      </c>
      <c r="E343" s="54" t="s">
        <v>1138</v>
      </c>
      <c r="F343" s="54" t="s">
        <v>2575</v>
      </c>
      <c r="G343" s="54" t="s">
        <v>2575</v>
      </c>
      <c r="H343" s="53" t="s">
        <v>2575</v>
      </c>
      <c r="I343" s="53" t="s">
        <v>2575</v>
      </c>
      <c r="J343" s="53" t="s">
        <v>988</v>
      </c>
      <c r="K343" s="53" t="s">
        <v>694</v>
      </c>
      <c r="L343" s="266" t="s">
        <v>1575</v>
      </c>
    </row>
    <row r="344" spans="2:12" ht="24" x14ac:dyDescent="0.3">
      <c r="B344" s="262">
        <v>340</v>
      </c>
      <c r="C344" s="59" t="s">
        <v>2109</v>
      </c>
      <c r="D344" s="53" t="s">
        <v>1614</v>
      </c>
      <c r="E344" s="54" t="s">
        <v>1615</v>
      </c>
      <c r="F344" s="54" t="s">
        <v>2575</v>
      </c>
      <c r="G344" s="54" t="s">
        <v>2575</v>
      </c>
      <c r="H344" s="53" t="s">
        <v>2575</v>
      </c>
      <c r="I344" s="53" t="s">
        <v>2575</v>
      </c>
      <c r="J344" s="53" t="s">
        <v>1009</v>
      </c>
      <c r="K344" s="53" t="s">
        <v>694</v>
      </c>
      <c r="L344" s="266" t="s">
        <v>1575</v>
      </c>
    </row>
    <row r="345" spans="2:12" ht="24" x14ac:dyDescent="0.3">
      <c r="B345" s="262">
        <v>341</v>
      </c>
      <c r="C345" s="59" t="s">
        <v>2110</v>
      </c>
      <c r="D345" s="53" t="s">
        <v>1635</v>
      </c>
      <c r="E345" s="54" t="s">
        <v>1636</v>
      </c>
      <c r="F345" s="54" t="s">
        <v>2575</v>
      </c>
      <c r="G345" s="54" t="s">
        <v>2575</v>
      </c>
      <c r="H345" s="53" t="s">
        <v>2575</v>
      </c>
      <c r="I345" s="53" t="s">
        <v>2575</v>
      </c>
      <c r="J345" s="53" t="s">
        <v>988</v>
      </c>
      <c r="K345" s="53" t="s">
        <v>694</v>
      </c>
      <c r="L345" s="266" t="s">
        <v>1575</v>
      </c>
    </row>
    <row r="346" spans="2:12" ht="24" x14ac:dyDescent="0.3">
      <c r="B346" s="262">
        <v>342</v>
      </c>
      <c r="C346" s="59" t="s">
        <v>2111</v>
      </c>
      <c r="D346" s="53" t="s">
        <v>2112</v>
      </c>
      <c r="E346" s="54" t="s">
        <v>555</v>
      </c>
      <c r="F346" s="54" t="s">
        <v>2575</v>
      </c>
      <c r="G346" s="54" t="s">
        <v>2575</v>
      </c>
      <c r="H346" s="53" t="s">
        <v>2575</v>
      </c>
      <c r="I346" s="53" t="s">
        <v>2575</v>
      </c>
      <c r="J346" s="53" t="s">
        <v>1956</v>
      </c>
      <c r="K346" s="53" t="s">
        <v>722</v>
      </c>
      <c r="L346" s="266" t="s">
        <v>515</v>
      </c>
    </row>
    <row r="347" spans="2:12" ht="24" x14ac:dyDescent="0.3">
      <c r="B347" s="262">
        <v>343</v>
      </c>
      <c r="C347" s="59" t="s">
        <v>2114</v>
      </c>
      <c r="D347" s="53" t="s">
        <v>1652</v>
      </c>
      <c r="E347" s="54" t="s">
        <v>1508</v>
      </c>
      <c r="F347" s="54" t="s">
        <v>2575</v>
      </c>
      <c r="G347" s="54" t="s">
        <v>2575</v>
      </c>
      <c r="H347" s="53" t="s">
        <v>2575</v>
      </c>
      <c r="I347" s="53" t="s">
        <v>2575</v>
      </c>
      <c r="J347" s="53" t="s">
        <v>1653</v>
      </c>
      <c r="K347" s="53" t="s">
        <v>514</v>
      </c>
      <c r="L347" s="266" t="s">
        <v>1511</v>
      </c>
    </row>
    <row r="348" spans="2:12" ht="24" x14ac:dyDescent="0.3">
      <c r="B348" s="262">
        <v>344</v>
      </c>
      <c r="C348" s="59" t="s">
        <v>2116</v>
      </c>
      <c r="D348" s="53" t="s">
        <v>1655</v>
      </c>
      <c r="E348" s="54" t="s">
        <v>1508</v>
      </c>
      <c r="F348" s="54" t="s">
        <v>2575</v>
      </c>
      <c r="G348" s="54" t="s">
        <v>2575</v>
      </c>
      <c r="H348" s="53" t="s">
        <v>2575</v>
      </c>
      <c r="I348" s="53" t="s">
        <v>2575</v>
      </c>
      <c r="J348" s="53" t="s">
        <v>1044</v>
      </c>
      <c r="K348" s="53" t="s">
        <v>1656</v>
      </c>
      <c r="L348" s="266" t="s">
        <v>1505</v>
      </c>
    </row>
    <row r="349" spans="2:12" ht="24" x14ac:dyDescent="0.3">
      <c r="B349" s="262">
        <v>345</v>
      </c>
      <c r="C349" s="59" t="s">
        <v>2117</v>
      </c>
      <c r="D349" s="53" t="s">
        <v>1658</v>
      </c>
      <c r="E349" s="54" t="s">
        <v>1082</v>
      </c>
      <c r="F349" s="54" t="s">
        <v>2575</v>
      </c>
      <c r="G349" s="54" t="s">
        <v>2575</v>
      </c>
      <c r="H349" s="53" t="s">
        <v>2575</v>
      </c>
      <c r="I349" s="53" t="s">
        <v>2575</v>
      </c>
      <c r="J349" s="53" t="s">
        <v>1653</v>
      </c>
      <c r="K349" s="53" t="s">
        <v>514</v>
      </c>
      <c r="L349" s="266" t="s">
        <v>1511</v>
      </c>
    </row>
    <row r="350" spans="2:12" ht="24" x14ac:dyDescent="0.3">
      <c r="B350" s="262">
        <v>346</v>
      </c>
      <c r="C350" s="59" t="s">
        <v>2118</v>
      </c>
      <c r="D350" s="53" t="s">
        <v>1660</v>
      </c>
      <c r="E350" s="54" t="s">
        <v>1082</v>
      </c>
      <c r="F350" s="54" t="s">
        <v>2575</v>
      </c>
      <c r="G350" s="54" t="s">
        <v>2575</v>
      </c>
      <c r="H350" s="53" t="s">
        <v>2575</v>
      </c>
      <c r="I350" s="53" t="s">
        <v>2575</v>
      </c>
      <c r="J350" s="53" t="s">
        <v>1044</v>
      </c>
      <c r="K350" s="53" t="s">
        <v>1656</v>
      </c>
      <c r="L350" s="266" t="s">
        <v>1511</v>
      </c>
    </row>
    <row r="351" spans="2:12" ht="12" x14ac:dyDescent="0.3">
      <c r="B351" s="262">
        <v>347</v>
      </c>
      <c r="C351" s="59" t="s">
        <v>2119</v>
      </c>
      <c r="D351" s="53" t="s">
        <v>1662</v>
      </c>
      <c r="E351" s="54" t="s">
        <v>2120</v>
      </c>
      <c r="F351" s="54" t="s">
        <v>2575</v>
      </c>
      <c r="G351" s="54" t="s">
        <v>2575</v>
      </c>
      <c r="H351" s="53" t="s">
        <v>2575</v>
      </c>
      <c r="I351" s="53" t="s">
        <v>2575</v>
      </c>
      <c r="J351" s="53" t="s">
        <v>1664</v>
      </c>
      <c r="K351" s="53" t="s">
        <v>722</v>
      </c>
      <c r="L351" s="266" t="s">
        <v>1561</v>
      </c>
    </row>
    <row r="352" spans="2:12" ht="24" x14ac:dyDescent="0.3">
      <c r="B352" s="262">
        <v>348</v>
      </c>
      <c r="C352" s="59" t="s">
        <v>2121</v>
      </c>
      <c r="D352" s="53" t="s">
        <v>2122</v>
      </c>
      <c r="E352" s="54" t="s">
        <v>1082</v>
      </c>
      <c r="F352" s="54" t="s">
        <v>2575</v>
      </c>
      <c r="G352" s="54" t="s">
        <v>2575</v>
      </c>
      <c r="H352" s="53" t="s">
        <v>2575</v>
      </c>
      <c r="I352" s="53" t="s">
        <v>2575</v>
      </c>
      <c r="J352" s="53" t="s">
        <v>1653</v>
      </c>
      <c r="K352" s="53" t="s">
        <v>514</v>
      </c>
      <c r="L352" s="266" t="s">
        <v>1558</v>
      </c>
    </row>
    <row r="353" spans="2:12" ht="24" x14ac:dyDescent="0.3">
      <c r="B353" s="262">
        <v>349</v>
      </c>
      <c r="C353" s="59" t="s">
        <v>2123</v>
      </c>
      <c r="D353" s="53" t="s">
        <v>2124</v>
      </c>
      <c r="E353" s="54" t="s">
        <v>1082</v>
      </c>
      <c r="F353" s="54" t="s">
        <v>2575</v>
      </c>
      <c r="G353" s="54" t="s">
        <v>2575</v>
      </c>
      <c r="H353" s="53" t="s">
        <v>2575</v>
      </c>
      <c r="I353" s="53" t="s">
        <v>2575</v>
      </c>
      <c r="J353" s="53" t="s">
        <v>1044</v>
      </c>
      <c r="K353" s="53" t="s">
        <v>1656</v>
      </c>
      <c r="L353" s="266" t="s">
        <v>1575</v>
      </c>
    </row>
    <row r="354" spans="2:12" ht="12.75" thickBot="1" x14ac:dyDescent="0.35">
      <c r="B354" s="270">
        <v>350</v>
      </c>
      <c r="C354" s="271" t="s">
        <v>2125</v>
      </c>
      <c r="D354" s="272" t="s">
        <v>2126</v>
      </c>
      <c r="E354" s="273" t="s">
        <v>2120</v>
      </c>
      <c r="F354" s="273" t="s">
        <v>2575</v>
      </c>
      <c r="G354" s="273" t="s">
        <v>2575</v>
      </c>
      <c r="H354" s="272" t="s">
        <v>2575</v>
      </c>
      <c r="I354" s="272" t="s">
        <v>2575</v>
      </c>
      <c r="J354" s="272" t="s">
        <v>1664</v>
      </c>
      <c r="K354" s="272" t="s">
        <v>722</v>
      </c>
      <c r="L354" s="274" t="s">
        <v>1575</v>
      </c>
    </row>
  </sheetData>
  <autoFilter ref="B4:L354">
    <sortState ref="B5:L335">
      <sortCondition ref="B4:B335"/>
    </sortState>
  </autoFilter>
  <mergeCells count="1">
    <mergeCell ref="B2:L2"/>
  </mergeCells>
  <phoneticPr fontId="2" type="noConversion"/>
  <pageMargins left="0.7" right="0.7" top="0.75" bottom="0.75" header="0.3" footer="0.3"/>
  <pageSetup paperSize="9" scale="43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L260"/>
  <sheetViews>
    <sheetView showGridLines="0" topLeftCell="A117" zoomScaleNormal="100" workbookViewId="0">
      <selection activeCell="M31" sqref="M31"/>
    </sheetView>
  </sheetViews>
  <sheetFormatPr defaultRowHeight="50.1" customHeight="1" x14ac:dyDescent="0.3"/>
  <cols>
    <col min="1" max="1" width="0.625" style="24" customWidth="1"/>
    <col min="2" max="3" width="9" style="23"/>
    <col min="4" max="4" width="22.625" style="23" customWidth="1"/>
    <col min="5" max="5" width="31.125" style="52" customWidth="1"/>
    <col min="6" max="6" width="41.875" style="23" customWidth="1"/>
    <col min="7" max="7" width="29.375" style="23" customWidth="1"/>
    <col min="8" max="8" width="9" style="24"/>
    <col min="9" max="9" width="13" style="24" customWidth="1"/>
    <col min="10" max="10" width="10.875" style="24" customWidth="1"/>
    <col min="11" max="11" width="14" style="24" customWidth="1"/>
    <col min="12" max="12" width="10.875" style="24" customWidth="1"/>
    <col min="13" max="16384" width="9" style="24"/>
  </cols>
  <sheetData>
    <row r="1" spans="2:12" ht="4.5" customHeight="1" x14ac:dyDescent="0.3"/>
    <row r="2" spans="2:12" ht="50.1" customHeight="1" x14ac:dyDescent="0.3">
      <c r="B2" s="369" t="s">
        <v>2383</v>
      </c>
      <c r="C2" s="369"/>
      <c r="D2" s="369"/>
      <c r="E2" s="369"/>
      <c r="F2" s="369"/>
      <c r="G2" s="369"/>
      <c r="H2" s="369"/>
      <c r="I2" s="369"/>
      <c r="J2" s="369"/>
      <c r="K2" s="369"/>
      <c r="L2" s="369"/>
    </row>
    <row r="3" spans="2:12" ht="8.25" customHeight="1" thickBot="1" x14ac:dyDescent="0.35"/>
    <row r="4" spans="2:12" ht="50.1" customHeight="1" x14ac:dyDescent="0.3">
      <c r="B4" s="256" t="s">
        <v>2364</v>
      </c>
      <c r="C4" s="257" t="s">
        <v>457</v>
      </c>
      <c r="D4" s="258" t="s">
        <v>1465</v>
      </c>
      <c r="E4" s="259" t="s">
        <v>461</v>
      </c>
      <c r="F4" s="258" t="s">
        <v>462</v>
      </c>
      <c r="G4" s="258" t="s">
        <v>463</v>
      </c>
      <c r="H4" s="258" t="s">
        <v>464</v>
      </c>
      <c r="I4" s="258" t="s">
        <v>465</v>
      </c>
      <c r="J4" s="260" t="s">
        <v>2384</v>
      </c>
      <c r="K4" s="260" t="s">
        <v>467</v>
      </c>
      <c r="L4" s="261" t="s">
        <v>468</v>
      </c>
    </row>
    <row r="5" spans="2:12" ht="24" x14ac:dyDescent="0.3">
      <c r="B5" s="262">
        <v>1</v>
      </c>
      <c r="C5" s="60" t="s">
        <v>2461</v>
      </c>
      <c r="D5" s="61" t="s">
        <v>2462</v>
      </c>
      <c r="E5" s="62" t="s">
        <v>2261</v>
      </c>
      <c r="F5" s="62" t="s">
        <v>2463</v>
      </c>
      <c r="G5" s="62" t="s">
        <v>2464</v>
      </c>
      <c r="H5" s="61" t="s">
        <v>1159</v>
      </c>
      <c r="I5" s="61">
        <v>4</v>
      </c>
      <c r="J5" s="61" t="s">
        <v>2465</v>
      </c>
      <c r="K5" s="61" t="s">
        <v>1161</v>
      </c>
      <c r="L5" s="263">
        <v>9.1</v>
      </c>
    </row>
    <row r="6" spans="2:12" ht="24" x14ac:dyDescent="0.3">
      <c r="B6" s="262">
        <v>2</v>
      </c>
      <c r="C6" s="60" t="s">
        <v>2466</v>
      </c>
      <c r="D6" s="61" t="s">
        <v>1165</v>
      </c>
      <c r="E6" s="62" t="s">
        <v>2467</v>
      </c>
      <c r="F6" s="62" t="s">
        <v>2468</v>
      </c>
      <c r="G6" s="62" t="s">
        <v>2469</v>
      </c>
      <c r="H6" s="61" t="s">
        <v>480</v>
      </c>
      <c r="I6" s="61">
        <v>4</v>
      </c>
      <c r="J6" s="61" t="s">
        <v>2470</v>
      </c>
      <c r="K6" s="61" t="s">
        <v>1171</v>
      </c>
      <c r="L6" s="263" t="s">
        <v>1172</v>
      </c>
    </row>
    <row r="7" spans="2:12" ht="24" x14ac:dyDescent="0.3">
      <c r="B7" s="262">
        <v>3</v>
      </c>
      <c r="C7" s="60" t="s">
        <v>1174</v>
      </c>
      <c r="D7" s="61" t="s">
        <v>1175</v>
      </c>
      <c r="E7" s="62" t="s">
        <v>1251</v>
      </c>
      <c r="F7" s="62" t="s">
        <v>1252</v>
      </c>
      <c r="G7" s="62" t="s">
        <v>1253</v>
      </c>
      <c r="H7" s="61" t="s">
        <v>480</v>
      </c>
      <c r="I7" s="61">
        <v>4</v>
      </c>
      <c r="J7" s="61" t="s">
        <v>2470</v>
      </c>
      <c r="K7" s="61" t="s">
        <v>1171</v>
      </c>
      <c r="L7" s="263" t="s">
        <v>1180</v>
      </c>
    </row>
    <row r="8" spans="2:12" ht="24" x14ac:dyDescent="0.3">
      <c r="B8" s="262">
        <v>4</v>
      </c>
      <c r="C8" s="60" t="s">
        <v>1182</v>
      </c>
      <c r="D8" s="61" t="s">
        <v>1183</v>
      </c>
      <c r="E8" s="62" t="s">
        <v>1251</v>
      </c>
      <c r="F8" s="62" t="s">
        <v>1252</v>
      </c>
      <c r="G8" s="62" t="s">
        <v>1253</v>
      </c>
      <c r="H8" s="61" t="s">
        <v>480</v>
      </c>
      <c r="I8" s="61">
        <v>4</v>
      </c>
      <c r="J8" s="62" t="s">
        <v>2257</v>
      </c>
      <c r="K8" s="62" t="s">
        <v>682</v>
      </c>
      <c r="L8" s="264" t="s">
        <v>1186</v>
      </c>
    </row>
    <row r="9" spans="2:12" ht="24" x14ac:dyDescent="0.3">
      <c r="B9" s="262">
        <v>5</v>
      </c>
      <c r="C9" s="60" t="s">
        <v>1188</v>
      </c>
      <c r="D9" s="61" t="s">
        <v>1200</v>
      </c>
      <c r="E9" s="62" t="s">
        <v>2221</v>
      </c>
      <c r="F9" s="62" t="s">
        <v>2471</v>
      </c>
      <c r="G9" s="62" t="s">
        <v>2472</v>
      </c>
      <c r="H9" s="61" t="s">
        <v>480</v>
      </c>
      <c r="I9" s="61">
        <v>4.2</v>
      </c>
      <c r="J9" s="62" t="s">
        <v>1374</v>
      </c>
      <c r="K9" s="62" t="s">
        <v>1195</v>
      </c>
      <c r="L9" s="265" t="s">
        <v>2473</v>
      </c>
    </row>
    <row r="10" spans="2:12" ht="24" x14ac:dyDescent="0.3">
      <c r="B10" s="262">
        <v>6</v>
      </c>
      <c r="C10" s="60" t="s">
        <v>1199</v>
      </c>
      <c r="D10" s="61" t="s">
        <v>1200</v>
      </c>
      <c r="E10" s="62" t="s">
        <v>2221</v>
      </c>
      <c r="F10" s="62" t="s">
        <v>2471</v>
      </c>
      <c r="G10" s="62" t="s">
        <v>2472</v>
      </c>
      <c r="H10" s="61" t="s">
        <v>480</v>
      </c>
      <c r="I10" s="61">
        <v>4.2</v>
      </c>
      <c r="J10" s="61" t="s">
        <v>1374</v>
      </c>
      <c r="K10" s="61" t="s">
        <v>1195</v>
      </c>
      <c r="L10" s="263" t="s">
        <v>1202</v>
      </c>
    </row>
    <row r="11" spans="2:12" ht="24" x14ac:dyDescent="0.3">
      <c r="B11" s="262">
        <v>7</v>
      </c>
      <c r="C11" s="60" t="s">
        <v>1204</v>
      </c>
      <c r="D11" s="61" t="s">
        <v>2474</v>
      </c>
      <c r="E11" s="62" t="s">
        <v>2221</v>
      </c>
      <c r="F11" s="62" t="s">
        <v>2471</v>
      </c>
      <c r="G11" s="62" t="s">
        <v>2472</v>
      </c>
      <c r="H11" s="61" t="s">
        <v>480</v>
      </c>
      <c r="I11" s="61">
        <v>4.2</v>
      </c>
      <c r="J11" s="61" t="s">
        <v>524</v>
      </c>
      <c r="K11" s="61" t="s">
        <v>494</v>
      </c>
      <c r="L11" s="263" t="s">
        <v>1207</v>
      </c>
    </row>
    <row r="12" spans="2:12" ht="24" x14ac:dyDescent="0.3">
      <c r="B12" s="262">
        <v>8</v>
      </c>
      <c r="C12" s="60" t="s">
        <v>2475</v>
      </c>
      <c r="D12" s="61" t="s">
        <v>2476</v>
      </c>
      <c r="E12" s="62" t="s">
        <v>2266</v>
      </c>
      <c r="F12" s="62" t="s">
        <v>1213</v>
      </c>
      <c r="G12" s="62" t="s">
        <v>2477</v>
      </c>
      <c r="H12" s="61" t="s">
        <v>566</v>
      </c>
      <c r="I12" s="61">
        <v>4.2</v>
      </c>
      <c r="J12" s="61" t="s">
        <v>1949</v>
      </c>
      <c r="K12" s="61" t="s">
        <v>682</v>
      </c>
      <c r="L12" s="263" t="s">
        <v>2478</v>
      </c>
    </row>
    <row r="13" spans="2:12" ht="24" x14ac:dyDescent="0.3">
      <c r="B13" s="262">
        <v>9</v>
      </c>
      <c r="C13" s="60" t="s">
        <v>1227</v>
      </c>
      <c r="D13" s="61" t="s">
        <v>2479</v>
      </c>
      <c r="E13" s="62" t="s">
        <v>2269</v>
      </c>
      <c r="F13" s="62" t="s">
        <v>1230</v>
      </c>
      <c r="G13" s="62" t="s">
        <v>1231</v>
      </c>
      <c r="H13" s="61" t="s">
        <v>566</v>
      </c>
      <c r="I13" s="61">
        <v>4.2</v>
      </c>
      <c r="J13" s="61" t="s">
        <v>537</v>
      </c>
      <c r="K13" s="61" t="s">
        <v>494</v>
      </c>
      <c r="L13" s="263" t="s">
        <v>2480</v>
      </c>
    </row>
    <row r="14" spans="2:12" ht="24" x14ac:dyDescent="0.3">
      <c r="B14" s="262">
        <v>10</v>
      </c>
      <c r="C14" s="60" t="s">
        <v>1234</v>
      </c>
      <c r="D14" s="61" t="s">
        <v>1235</v>
      </c>
      <c r="E14" s="62" t="s">
        <v>2269</v>
      </c>
      <c r="F14" s="62" t="s">
        <v>1230</v>
      </c>
      <c r="G14" s="62" t="s">
        <v>1231</v>
      </c>
      <c r="H14" s="61" t="s">
        <v>566</v>
      </c>
      <c r="I14" s="61">
        <v>4.2</v>
      </c>
      <c r="J14" s="62" t="s">
        <v>1949</v>
      </c>
      <c r="K14" s="62" t="s">
        <v>682</v>
      </c>
      <c r="L14" s="264" t="s">
        <v>1237</v>
      </c>
    </row>
    <row r="15" spans="2:12" ht="24" x14ac:dyDescent="0.3">
      <c r="B15" s="262">
        <v>11</v>
      </c>
      <c r="C15" s="60" t="s">
        <v>1239</v>
      </c>
      <c r="D15" s="61" t="s">
        <v>1240</v>
      </c>
      <c r="E15" s="62" t="s">
        <v>2133</v>
      </c>
      <c r="F15" s="62" t="s">
        <v>1305</v>
      </c>
      <c r="G15" s="62" t="s">
        <v>1306</v>
      </c>
      <c r="H15" s="61" t="s">
        <v>504</v>
      </c>
      <c r="I15" s="61">
        <v>5</v>
      </c>
      <c r="J15" s="61" t="s">
        <v>1397</v>
      </c>
      <c r="K15" s="61" t="s">
        <v>1246</v>
      </c>
      <c r="L15" s="263">
        <v>12.2</v>
      </c>
    </row>
    <row r="16" spans="2:12" ht="24" x14ac:dyDescent="0.3">
      <c r="B16" s="262">
        <v>12</v>
      </c>
      <c r="C16" s="60" t="s">
        <v>2481</v>
      </c>
      <c r="D16" s="61" t="s">
        <v>1264</v>
      </c>
      <c r="E16" s="62" t="s">
        <v>2243</v>
      </c>
      <c r="F16" s="62" t="s">
        <v>1299</v>
      </c>
      <c r="G16" s="62" t="s">
        <v>1274</v>
      </c>
      <c r="H16" s="61" t="s">
        <v>550</v>
      </c>
      <c r="I16" s="61">
        <v>5</v>
      </c>
      <c r="J16" s="62" t="s">
        <v>970</v>
      </c>
      <c r="K16" s="62" t="s">
        <v>1269</v>
      </c>
      <c r="L16" s="264" t="s">
        <v>2577</v>
      </c>
    </row>
    <row r="17" spans="2:12" ht="24" x14ac:dyDescent="0.3">
      <c r="B17" s="262">
        <v>13</v>
      </c>
      <c r="C17" s="60" t="s">
        <v>2482</v>
      </c>
      <c r="D17" s="61" t="s">
        <v>2249</v>
      </c>
      <c r="E17" s="62" t="s">
        <v>2243</v>
      </c>
      <c r="F17" s="62" t="s">
        <v>1299</v>
      </c>
      <c r="G17" s="62" t="s">
        <v>1274</v>
      </c>
      <c r="H17" s="61" t="s">
        <v>504</v>
      </c>
      <c r="I17" s="61">
        <v>5</v>
      </c>
      <c r="J17" s="61" t="s">
        <v>979</v>
      </c>
      <c r="K17" s="61" t="s">
        <v>1275</v>
      </c>
      <c r="L17" s="263" t="s">
        <v>1276</v>
      </c>
    </row>
    <row r="18" spans="2:12" ht="24" x14ac:dyDescent="0.3">
      <c r="B18" s="262">
        <v>14</v>
      </c>
      <c r="C18" s="60" t="s">
        <v>2483</v>
      </c>
      <c r="D18" s="61" t="s">
        <v>2484</v>
      </c>
      <c r="E18" s="62" t="s">
        <v>2485</v>
      </c>
      <c r="F18" s="62" t="s">
        <v>2486</v>
      </c>
      <c r="G18" s="62" t="s">
        <v>2578</v>
      </c>
      <c r="H18" s="61" t="s">
        <v>730</v>
      </c>
      <c r="I18" s="61">
        <v>5</v>
      </c>
      <c r="J18" s="61" t="s">
        <v>1653</v>
      </c>
      <c r="K18" s="61" t="s">
        <v>1284</v>
      </c>
      <c r="L18" s="263">
        <v>26</v>
      </c>
    </row>
    <row r="19" spans="2:12" ht="24" x14ac:dyDescent="0.3">
      <c r="B19" s="262">
        <v>15</v>
      </c>
      <c r="C19" s="60" t="s">
        <v>2487</v>
      </c>
      <c r="D19" s="61" t="s">
        <v>2488</v>
      </c>
      <c r="E19" s="62" t="s">
        <v>2129</v>
      </c>
      <c r="F19" s="62" t="s">
        <v>2489</v>
      </c>
      <c r="G19" s="62" t="s">
        <v>2490</v>
      </c>
      <c r="H19" s="61" t="s">
        <v>504</v>
      </c>
      <c r="I19" s="61">
        <v>4.2</v>
      </c>
      <c r="J19" s="62" t="s">
        <v>2213</v>
      </c>
      <c r="K19" s="62" t="s">
        <v>1293</v>
      </c>
      <c r="L19" s="265" t="s">
        <v>2491</v>
      </c>
    </row>
    <row r="20" spans="2:12" ht="24" x14ac:dyDescent="0.3">
      <c r="B20" s="262">
        <v>16</v>
      </c>
      <c r="C20" s="60" t="s">
        <v>2492</v>
      </c>
      <c r="D20" s="61" t="s">
        <v>2324</v>
      </c>
      <c r="E20" s="62" t="s">
        <v>2243</v>
      </c>
      <c r="F20" s="62" t="s">
        <v>1299</v>
      </c>
      <c r="G20" s="62" t="s">
        <v>1274</v>
      </c>
      <c r="H20" s="61" t="s">
        <v>550</v>
      </c>
      <c r="I20" s="61">
        <v>5</v>
      </c>
      <c r="J20" s="61" t="s">
        <v>2244</v>
      </c>
      <c r="K20" s="62" t="s">
        <v>1246</v>
      </c>
      <c r="L20" s="278" t="s">
        <v>2579</v>
      </c>
    </row>
    <row r="21" spans="2:12" ht="24" x14ac:dyDescent="0.3">
      <c r="B21" s="262">
        <v>17</v>
      </c>
      <c r="C21" s="60" t="s">
        <v>1302</v>
      </c>
      <c r="D21" s="61" t="s">
        <v>2132</v>
      </c>
      <c r="E21" s="62" t="s">
        <v>2133</v>
      </c>
      <c r="F21" s="62" t="s">
        <v>1305</v>
      </c>
      <c r="G21" s="62" t="s">
        <v>1306</v>
      </c>
      <c r="H21" s="61" t="s">
        <v>504</v>
      </c>
      <c r="I21" s="61">
        <v>5</v>
      </c>
      <c r="J21" s="61" t="s">
        <v>2237</v>
      </c>
      <c r="K21" s="62" t="s">
        <v>494</v>
      </c>
      <c r="L21" s="264" t="s">
        <v>2710</v>
      </c>
    </row>
    <row r="22" spans="2:12" ht="24" x14ac:dyDescent="0.3">
      <c r="B22" s="262">
        <v>18</v>
      </c>
      <c r="C22" s="60" t="s">
        <v>2493</v>
      </c>
      <c r="D22" s="61" t="s">
        <v>2494</v>
      </c>
      <c r="E22" s="62" t="s">
        <v>1396</v>
      </c>
      <c r="F22" s="62" t="s">
        <v>1350</v>
      </c>
      <c r="G22" s="62" t="s">
        <v>1351</v>
      </c>
      <c r="H22" s="61" t="s">
        <v>504</v>
      </c>
      <c r="I22" s="61">
        <v>5</v>
      </c>
      <c r="J22" s="61" t="s">
        <v>2495</v>
      </c>
      <c r="K22" s="61" t="s">
        <v>1195</v>
      </c>
      <c r="L22" s="263" t="s">
        <v>2580</v>
      </c>
    </row>
    <row r="23" spans="2:12" ht="24" x14ac:dyDescent="0.3">
      <c r="B23" s="262">
        <v>19</v>
      </c>
      <c r="C23" s="60" t="s">
        <v>2496</v>
      </c>
      <c r="D23" s="61" t="s">
        <v>2497</v>
      </c>
      <c r="E23" s="62" t="s">
        <v>2154</v>
      </c>
      <c r="F23" s="62" t="s">
        <v>1323</v>
      </c>
      <c r="G23" s="62" t="s">
        <v>1359</v>
      </c>
      <c r="H23" s="61" t="s">
        <v>550</v>
      </c>
      <c r="I23" s="61">
        <v>5</v>
      </c>
      <c r="J23" s="61" t="s">
        <v>2498</v>
      </c>
      <c r="K23" s="61" t="s">
        <v>1326</v>
      </c>
      <c r="L23" s="263">
        <v>14.1</v>
      </c>
    </row>
    <row r="24" spans="2:12" ht="24" x14ac:dyDescent="0.3">
      <c r="B24" s="262">
        <v>20</v>
      </c>
      <c r="C24" s="60" t="s">
        <v>1336</v>
      </c>
      <c r="D24" s="61" t="s">
        <v>2249</v>
      </c>
      <c r="E24" s="62" t="s">
        <v>2243</v>
      </c>
      <c r="F24" s="62" t="s">
        <v>1299</v>
      </c>
      <c r="G24" s="62" t="s">
        <v>1274</v>
      </c>
      <c r="H24" s="61" t="s">
        <v>504</v>
      </c>
      <c r="I24" s="61">
        <v>5</v>
      </c>
      <c r="J24" s="61" t="s">
        <v>979</v>
      </c>
      <c r="K24" s="61" t="s">
        <v>1275</v>
      </c>
      <c r="L24" s="263">
        <v>14.2</v>
      </c>
    </row>
    <row r="25" spans="2:12" ht="24" x14ac:dyDescent="0.3">
      <c r="B25" s="262">
        <v>21</v>
      </c>
      <c r="C25" s="60" t="s">
        <v>2499</v>
      </c>
      <c r="D25" s="61" t="s">
        <v>2249</v>
      </c>
      <c r="E25" s="62" t="s">
        <v>2243</v>
      </c>
      <c r="F25" s="62" t="s">
        <v>1299</v>
      </c>
      <c r="G25" s="62" t="s">
        <v>1274</v>
      </c>
      <c r="H25" s="61" t="s">
        <v>504</v>
      </c>
      <c r="I25" s="61">
        <v>5</v>
      </c>
      <c r="J25" s="61" t="s">
        <v>979</v>
      </c>
      <c r="K25" s="61" t="s">
        <v>1275</v>
      </c>
      <c r="L25" s="263" t="s">
        <v>2580</v>
      </c>
    </row>
    <row r="26" spans="2:12" ht="24" x14ac:dyDescent="0.3">
      <c r="B26" s="262">
        <v>22</v>
      </c>
      <c r="C26" s="60" t="s">
        <v>1341</v>
      </c>
      <c r="D26" s="61" t="s">
        <v>1240</v>
      </c>
      <c r="E26" s="62" t="s">
        <v>2133</v>
      </c>
      <c r="F26" s="62" t="s">
        <v>1305</v>
      </c>
      <c r="G26" s="62" t="s">
        <v>1306</v>
      </c>
      <c r="H26" s="61" t="s">
        <v>504</v>
      </c>
      <c r="I26" s="61">
        <v>5</v>
      </c>
      <c r="J26" s="61" t="s">
        <v>1397</v>
      </c>
      <c r="K26" s="62" t="s">
        <v>1246</v>
      </c>
      <c r="L26" s="265">
        <v>14.3</v>
      </c>
    </row>
    <row r="27" spans="2:12" ht="24" x14ac:dyDescent="0.3">
      <c r="B27" s="262">
        <v>23</v>
      </c>
      <c r="C27" s="60" t="s">
        <v>1349</v>
      </c>
      <c r="D27" s="61" t="s">
        <v>2494</v>
      </c>
      <c r="E27" s="62" t="s">
        <v>1396</v>
      </c>
      <c r="F27" s="62" t="s">
        <v>1350</v>
      </c>
      <c r="G27" s="62" t="s">
        <v>1351</v>
      </c>
      <c r="H27" s="61" t="s">
        <v>504</v>
      </c>
      <c r="I27" s="61">
        <v>5</v>
      </c>
      <c r="J27" s="61" t="s">
        <v>2495</v>
      </c>
      <c r="K27" s="61" t="s">
        <v>1195</v>
      </c>
      <c r="L27" s="279" t="s">
        <v>2581</v>
      </c>
    </row>
    <row r="28" spans="2:12" ht="24" x14ac:dyDescent="0.3">
      <c r="B28" s="262">
        <v>24</v>
      </c>
      <c r="C28" s="60" t="s">
        <v>2501</v>
      </c>
      <c r="D28" s="61" t="s">
        <v>2153</v>
      </c>
      <c r="E28" s="62" t="s">
        <v>2154</v>
      </c>
      <c r="F28" s="62" t="s">
        <v>1323</v>
      </c>
      <c r="G28" s="62" t="s">
        <v>1359</v>
      </c>
      <c r="H28" s="61" t="s">
        <v>550</v>
      </c>
      <c r="I28" s="61">
        <v>5</v>
      </c>
      <c r="J28" s="61" t="s">
        <v>2302</v>
      </c>
      <c r="K28" s="61" t="s">
        <v>1361</v>
      </c>
      <c r="L28" s="263">
        <v>26.5</v>
      </c>
    </row>
    <row r="29" spans="2:12" ht="24" x14ac:dyDescent="0.3">
      <c r="B29" s="262">
        <v>25</v>
      </c>
      <c r="C29" s="60" t="s">
        <v>1363</v>
      </c>
      <c r="D29" s="61" t="s">
        <v>2502</v>
      </c>
      <c r="E29" s="62" t="s">
        <v>2243</v>
      </c>
      <c r="F29" s="62" t="s">
        <v>1299</v>
      </c>
      <c r="G29" s="62" t="s">
        <v>1274</v>
      </c>
      <c r="H29" s="61" t="s">
        <v>504</v>
      </c>
      <c r="I29" s="61">
        <v>5</v>
      </c>
      <c r="J29" s="61" t="s">
        <v>2503</v>
      </c>
      <c r="K29" s="61" t="s">
        <v>682</v>
      </c>
      <c r="L29" s="263">
        <v>13.6</v>
      </c>
    </row>
    <row r="30" spans="2:12" ht="24" x14ac:dyDescent="0.3">
      <c r="B30" s="262">
        <v>26</v>
      </c>
      <c r="C30" s="60" t="s">
        <v>2504</v>
      </c>
      <c r="D30" s="61" t="s">
        <v>2505</v>
      </c>
      <c r="E30" s="62" t="s">
        <v>2150</v>
      </c>
      <c r="F30" s="62" t="s">
        <v>1387</v>
      </c>
      <c r="G30" s="62" t="s">
        <v>1388</v>
      </c>
      <c r="H30" s="61" t="s">
        <v>550</v>
      </c>
      <c r="I30" s="61">
        <v>5</v>
      </c>
      <c r="J30" s="62" t="s">
        <v>1374</v>
      </c>
      <c r="K30" s="62" t="s">
        <v>1195</v>
      </c>
      <c r="L30" s="264" t="s">
        <v>2506</v>
      </c>
    </row>
    <row r="31" spans="2:12" ht="24" x14ac:dyDescent="0.3">
      <c r="B31" s="262">
        <v>27</v>
      </c>
      <c r="C31" s="60" t="s">
        <v>1377</v>
      </c>
      <c r="D31" s="61" t="s">
        <v>1378</v>
      </c>
      <c r="E31" s="62" t="s">
        <v>2154</v>
      </c>
      <c r="F31" s="62" t="s">
        <v>1323</v>
      </c>
      <c r="G31" s="62" t="s">
        <v>1359</v>
      </c>
      <c r="H31" s="61" t="s">
        <v>550</v>
      </c>
      <c r="I31" s="61">
        <v>5</v>
      </c>
      <c r="J31" s="61" t="s">
        <v>1380</v>
      </c>
      <c r="K31" s="61" t="s">
        <v>738</v>
      </c>
      <c r="L31" s="263">
        <v>15.5</v>
      </c>
    </row>
    <row r="32" spans="2:12" ht="24" x14ac:dyDescent="0.3">
      <c r="B32" s="262">
        <v>28</v>
      </c>
      <c r="C32" s="60" t="s">
        <v>2507</v>
      </c>
      <c r="D32" s="61" t="s">
        <v>2508</v>
      </c>
      <c r="E32" s="62" t="s">
        <v>2150</v>
      </c>
      <c r="F32" s="62" t="s">
        <v>1387</v>
      </c>
      <c r="G32" s="62" t="s">
        <v>1388</v>
      </c>
      <c r="H32" s="61" t="s">
        <v>550</v>
      </c>
      <c r="I32" s="61">
        <v>5</v>
      </c>
      <c r="J32" s="61" t="s">
        <v>1389</v>
      </c>
      <c r="K32" s="61" t="s">
        <v>2217</v>
      </c>
      <c r="L32" s="263">
        <v>15.7</v>
      </c>
    </row>
    <row r="33" spans="2:12" ht="24" x14ac:dyDescent="0.3">
      <c r="B33" s="262">
        <v>29</v>
      </c>
      <c r="C33" s="59" t="s">
        <v>1393</v>
      </c>
      <c r="D33" s="53" t="s">
        <v>1394</v>
      </c>
      <c r="E33" s="62" t="s">
        <v>1396</v>
      </c>
      <c r="F33" s="62" t="s">
        <v>1350</v>
      </c>
      <c r="G33" s="62" t="s">
        <v>1351</v>
      </c>
      <c r="H33" s="61" t="s">
        <v>550</v>
      </c>
      <c r="I33" s="61">
        <v>5</v>
      </c>
      <c r="J33" s="54" t="s">
        <v>1397</v>
      </c>
      <c r="K33" s="54" t="s">
        <v>1246</v>
      </c>
      <c r="L33" s="268" t="s">
        <v>1398</v>
      </c>
    </row>
    <row r="34" spans="2:12" ht="24" x14ac:dyDescent="0.3">
      <c r="B34" s="262">
        <v>30</v>
      </c>
      <c r="C34" s="59" t="s">
        <v>2509</v>
      </c>
      <c r="D34" s="53" t="s">
        <v>1394</v>
      </c>
      <c r="E34" s="62" t="s">
        <v>1396</v>
      </c>
      <c r="F34" s="62" t="s">
        <v>1350</v>
      </c>
      <c r="G34" s="62" t="s">
        <v>1351</v>
      </c>
      <c r="H34" s="61" t="s">
        <v>550</v>
      </c>
      <c r="I34" s="61">
        <v>5</v>
      </c>
      <c r="J34" s="54" t="s">
        <v>1397</v>
      </c>
      <c r="K34" s="54" t="s">
        <v>1246</v>
      </c>
      <c r="L34" s="268" t="s">
        <v>2582</v>
      </c>
    </row>
    <row r="35" spans="2:12" ht="24" x14ac:dyDescent="0.3">
      <c r="B35" s="262">
        <v>31</v>
      </c>
      <c r="C35" s="59" t="s">
        <v>2510</v>
      </c>
      <c r="D35" s="53" t="s">
        <v>2511</v>
      </c>
      <c r="E35" s="62" t="s">
        <v>2154</v>
      </c>
      <c r="F35" s="62" t="s">
        <v>1323</v>
      </c>
      <c r="G35" s="62" t="s">
        <v>1359</v>
      </c>
      <c r="H35" s="61" t="s">
        <v>712</v>
      </c>
      <c r="I35" s="61">
        <v>5</v>
      </c>
      <c r="J35" s="54" t="s">
        <v>979</v>
      </c>
      <c r="K35" s="54" t="s">
        <v>1361</v>
      </c>
      <c r="L35" s="268">
        <v>26.2</v>
      </c>
    </row>
    <row r="36" spans="2:12" ht="24" x14ac:dyDescent="0.3">
      <c r="B36" s="262">
        <v>32</v>
      </c>
      <c r="C36" s="59" t="s">
        <v>2513</v>
      </c>
      <c r="D36" s="53" t="s">
        <v>1378</v>
      </c>
      <c r="E36" s="62" t="s">
        <v>2154</v>
      </c>
      <c r="F36" s="62" t="s">
        <v>1323</v>
      </c>
      <c r="G36" s="62" t="s">
        <v>1359</v>
      </c>
      <c r="H36" s="61" t="s">
        <v>550</v>
      </c>
      <c r="I36" s="61">
        <v>5</v>
      </c>
      <c r="J36" s="54" t="s">
        <v>1380</v>
      </c>
      <c r="K36" s="54" t="s">
        <v>738</v>
      </c>
      <c r="L36" s="269" t="s">
        <v>2491</v>
      </c>
    </row>
    <row r="37" spans="2:12" ht="24" x14ac:dyDescent="0.3">
      <c r="B37" s="262">
        <v>33</v>
      </c>
      <c r="C37" s="59" t="s">
        <v>2514</v>
      </c>
      <c r="D37" s="53" t="s">
        <v>2168</v>
      </c>
      <c r="E37" s="62" t="s">
        <v>2150</v>
      </c>
      <c r="F37" s="62" t="s">
        <v>1387</v>
      </c>
      <c r="G37" s="62" t="s">
        <v>1388</v>
      </c>
      <c r="H37" s="61" t="s">
        <v>712</v>
      </c>
      <c r="I37" s="61">
        <v>5</v>
      </c>
      <c r="J37" s="53">
        <v>6.1</v>
      </c>
      <c r="K37" s="54" t="s">
        <v>1361</v>
      </c>
      <c r="L37" s="266" t="s">
        <v>2515</v>
      </c>
    </row>
    <row r="38" spans="2:12" ht="24" x14ac:dyDescent="0.3">
      <c r="B38" s="262">
        <v>34</v>
      </c>
      <c r="C38" s="59" t="s">
        <v>2516</v>
      </c>
      <c r="D38" s="53" t="s">
        <v>2517</v>
      </c>
      <c r="E38" s="62" t="s">
        <v>2150</v>
      </c>
      <c r="F38" s="62" t="s">
        <v>1387</v>
      </c>
      <c r="G38" s="62" t="s">
        <v>1388</v>
      </c>
      <c r="H38" s="61" t="s">
        <v>550</v>
      </c>
      <c r="I38" s="61">
        <v>5</v>
      </c>
      <c r="J38" s="53" t="s">
        <v>1380</v>
      </c>
      <c r="K38" s="53" t="s">
        <v>738</v>
      </c>
      <c r="L38" s="267" t="s">
        <v>1418</v>
      </c>
    </row>
    <row r="39" spans="2:12" ht="24" x14ac:dyDescent="0.3">
      <c r="B39" s="262">
        <v>35</v>
      </c>
      <c r="C39" s="59" t="s">
        <v>2518</v>
      </c>
      <c r="D39" s="53" t="s">
        <v>2149</v>
      </c>
      <c r="E39" s="62" t="s">
        <v>2150</v>
      </c>
      <c r="F39" s="62" t="s">
        <v>1387</v>
      </c>
      <c r="G39" s="62" t="s">
        <v>1388</v>
      </c>
      <c r="H39" s="61" t="s">
        <v>550</v>
      </c>
      <c r="I39" s="61">
        <v>5</v>
      </c>
      <c r="J39" s="53" t="s">
        <v>2305</v>
      </c>
      <c r="K39" s="53" t="s">
        <v>1361</v>
      </c>
      <c r="L39" s="266" t="s">
        <v>1447</v>
      </c>
    </row>
    <row r="40" spans="2:12" ht="24" x14ac:dyDescent="0.3">
      <c r="B40" s="262">
        <v>36</v>
      </c>
      <c r="C40" s="59" t="s">
        <v>2519</v>
      </c>
      <c r="D40" s="53" t="s">
        <v>2149</v>
      </c>
      <c r="E40" s="62" t="s">
        <v>2150</v>
      </c>
      <c r="F40" s="62" t="s">
        <v>1387</v>
      </c>
      <c r="G40" s="62" t="s">
        <v>1388</v>
      </c>
      <c r="H40" s="61" t="s">
        <v>550</v>
      </c>
      <c r="I40" s="61">
        <v>5</v>
      </c>
      <c r="J40" s="53" t="s">
        <v>2305</v>
      </c>
      <c r="K40" s="53" t="s">
        <v>1361</v>
      </c>
      <c r="L40" s="266" t="s">
        <v>1447</v>
      </c>
    </row>
    <row r="41" spans="2:12" ht="24" x14ac:dyDescent="0.3">
      <c r="B41" s="262">
        <v>37</v>
      </c>
      <c r="C41" s="59" t="s">
        <v>1428</v>
      </c>
      <c r="D41" s="53" t="s">
        <v>2170</v>
      </c>
      <c r="E41" s="62" t="s">
        <v>2150</v>
      </c>
      <c r="F41" s="62" t="s">
        <v>1387</v>
      </c>
      <c r="G41" s="62" t="s">
        <v>1388</v>
      </c>
      <c r="H41" s="61" t="s">
        <v>712</v>
      </c>
      <c r="I41" s="61">
        <v>5</v>
      </c>
      <c r="J41" s="53" t="s">
        <v>988</v>
      </c>
      <c r="K41" s="53" t="s">
        <v>2160</v>
      </c>
      <c r="L41" s="266" t="s">
        <v>1447</v>
      </c>
    </row>
    <row r="42" spans="2:12" ht="24" x14ac:dyDescent="0.3">
      <c r="B42" s="262">
        <v>38</v>
      </c>
      <c r="C42" s="59" t="s">
        <v>2520</v>
      </c>
      <c r="D42" s="53" t="s">
        <v>2172</v>
      </c>
      <c r="E42" s="62" t="s">
        <v>2150</v>
      </c>
      <c r="F42" s="62" t="s">
        <v>1387</v>
      </c>
      <c r="G42" s="62" t="s">
        <v>1388</v>
      </c>
      <c r="H42" s="61" t="s">
        <v>712</v>
      </c>
      <c r="I42" s="61">
        <v>5.3</v>
      </c>
      <c r="J42" s="53" t="s">
        <v>2305</v>
      </c>
      <c r="K42" s="53" t="s">
        <v>1361</v>
      </c>
      <c r="L42" s="266" t="s">
        <v>2500</v>
      </c>
    </row>
    <row r="43" spans="2:12" ht="24" x14ac:dyDescent="0.3">
      <c r="B43" s="262">
        <v>39</v>
      </c>
      <c r="C43" s="59" t="s">
        <v>2521</v>
      </c>
      <c r="D43" s="53" t="s">
        <v>2175</v>
      </c>
      <c r="E43" s="62" t="s">
        <v>2150</v>
      </c>
      <c r="F43" s="62" t="s">
        <v>1387</v>
      </c>
      <c r="G43" s="62" t="s">
        <v>1388</v>
      </c>
      <c r="H43" s="61" t="s">
        <v>712</v>
      </c>
      <c r="I43" s="61">
        <v>5.3</v>
      </c>
      <c r="J43" s="53" t="s">
        <v>988</v>
      </c>
      <c r="K43" s="53" t="s">
        <v>2160</v>
      </c>
      <c r="L43" s="266" t="s">
        <v>2522</v>
      </c>
    </row>
    <row r="44" spans="2:12" ht="24" x14ac:dyDescent="0.3">
      <c r="B44" s="262">
        <v>40</v>
      </c>
      <c r="C44" s="59" t="s">
        <v>2523</v>
      </c>
      <c r="D44" s="53" t="s">
        <v>2189</v>
      </c>
      <c r="E44" s="62" t="s">
        <v>2330</v>
      </c>
      <c r="F44" s="62" t="s">
        <v>2524</v>
      </c>
      <c r="G44" s="62" t="s">
        <v>2525</v>
      </c>
      <c r="H44" s="61" t="s">
        <v>730</v>
      </c>
      <c r="I44" s="61">
        <v>5.3</v>
      </c>
      <c r="J44" s="53" t="s">
        <v>979</v>
      </c>
      <c r="K44" s="53" t="s">
        <v>2181</v>
      </c>
      <c r="L44" s="266" t="s">
        <v>1447</v>
      </c>
    </row>
    <row r="45" spans="2:12" ht="24" x14ac:dyDescent="0.3">
      <c r="B45" s="262">
        <v>41</v>
      </c>
      <c r="C45" s="59" t="s">
        <v>2526</v>
      </c>
      <c r="D45" s="53" t="s">
        <v>2527</v>
      </c>
      <c r="E45" s="62" t="s">
        <v>1451</v>
      </c>
      <c r="F45" s="62" t="s">
        <v>2528</v>
      </c>
      <c r="G45" s="62" t="s">
        <v>2578</v>
      </c>
      <c r="H45" s="61" t="s">
        <v>730</v>
      </c>
      <c r="I45" s="61">
        <v>5</v>
      </c>
      <c r="J45" s="53" t="s">
        <v>1453</v>
      </c>
      <c r="K45" s="53" t="s">
        <v>1326</v>
      </c>
      <c r="L45" s="266" t="s">
        <v>1454</v>
      </c>
    </row>
    <row r="46" spans="2:12" ht="24" x14ac:dyDescent="0.3">
      <c r="B46" s="262">
        <v>42</v>
      </c>
      <c r="C46" s="59" t="s">
        <v>2583</v>
      </c>
      <c r="D46" s="53" t="s">
        <v>2334</v>
      </c>
      <c r="E46" s="62" t="s">
        <v>2529</v>
      </c>
      <c r="F46" s="62" t="s">
        <v>2530</v>
      </c>
      <c r="G46" s="62" t="s">
        <v>2531</v>
      </c>
      <c r="H46" s="61" t="s">
        <v>730</v>
      </c>
      <c r="I46" s="61">
        <v>5.3</v>
      </c>
      <c r="J46" s="53" t="s">
        <v>979</v>
      </c>
      <c r="K46" s="53" t="s">
        <v>2181</v>
      </c>
      <c r="L46" s="266" t="s">
        <v>2512</v>
      </c>
    </row>
    <row r="47" spans="2:12" ht="24" x14ac:dyDescent="0.3">
      <c r="B47" s="262">
        <v>43</v>
      </c>
      <c r="C47" s="59" t="s">
        <v>2127</v>
      </c>
      <c r="D47" s="53" t="s">
        <v>2128</v>
      </c>
      <c r="E47" s="62" t="s">
        <v>2129</v>
      </c>
      <c r="F47" s="62" t="s">
        <v>2575</v>
      </c>
      <c r="G47" s="62" t="s">
        <v>2575</v>
      </c>
      <c r="H47" s="61" t="s">
        <v>2575</v>
      </c>
      <c r="I47" s="61" t="s">
        <v>2575</v>
      </c>
      <c r="J47" s="53" t="s">
        <v>1374</v>
      </c>
      <c r="K47" s="53" t="s">
        <v>1195</v>
      </c>
      <c r="L47" s="266" t="s">
        <v>2130</v>
      </c>
    </row>
    <row r="48" spans="2:12" ht="24" x14ac:dyDescent="0.3">
      <c r="B48" s="262">
        <v>44</v>
      </c>
      <c r="C48" s="59" t="s">
        <v>2131</v>
      </c>
      <c r="D48" s="53" t="s">
        <v>2132</v>
      </c>
      <c r="E48" s="62" t="s">
        <v>2133</v>
      </c>
      <c r="F48" s="62" t="s">
        <v>2575</v>
      </c>
      <c r="G48" s="62" t="s">
        <v>2575</v>
      </c>
      <c r="H48" s="61" t="s">
        <v>2575</v>
      </c>
      <c r="I48" s="61" t="s">
        <v>2575</v>
      </c>
      <c r="J48" s="53" t="s">
        <v>537</v>
      </c>
      <c r="K48" s="53" t="s">
        <v>494</v>
      </c>
      <c r="L48" s="266" t="s">
        <v>2134</v>
      </c>
    </row>
    <row r="49" spans="2:12" ht="24" x14ac:dyDescent="0.3">
      <c r="B49" s="262">
        <v>45</v>
      </c>
      <c r="C49" s="59" t="s">
        <v>2135</v>
      </c>
      <c r="D49" s="53" t="s">
        <v>1240</v>
      </c>
      <c r="E49" s="62" t="s">
        <v>2133</v>
      </c>
      <c r="F49" s="62" t="s">
        <v>2575</v>
      </c>
      <c r="G49" s="62" t="s">
        <v>2575</v>
      </c>
      <c r="H49" s="61" t="s">
        <v>2575</v>
      </c>
      <c r="I49" s="61" t="s">
        <v>2575</v>
      </c>
      <c r="J49" s="53" t="s">
        <v>1397</v>
      </c>
      <c r="K49" s="53" t="s">
        <v>1246</v>
      </c>
      <c r="L49" s="266" t="s">
        <v>2136</v>
      </c>
    </row>
    <row r="50" spans="2:12" ht="24" x14ac:dyDescent="0.3">
      <c r="B50" s="262">
        <v>46</v>
      </c>
      <c r="C50" s="59" t="s">
        <v>2137</v>
      </c>
      <c r="D50" s="53" t="s">
        <v>2138</v>
      </c>
      <c r="E50" s="54" t="s">
        <v>2133</v>
      </c>
      <c r="F50" s="54" t="s">
        <v>2575</v>
      </c>
      <c r="G50" s="54" t="s">
        <v>2575</v>
      </c>
      <c r="H50" s="53" t="s">
        <v>2575</v>
      </c>
      <c r="I50" s="53" t="s">
        <v>2575</v>
      </c>
      <c r="J50" s="53" t="s">
        <v>1374</v>
      </c>
      <c r="K50" s="53" t="s">
        <v>1195</v>
      </c>
      <c r="L50" s="266" t="s">
        <v>2139</v>
      </c>
    </row>
    <row r="51" spans="2:12" ht="24" x14ac:dyDescent="0.3">
      <c r="B51" s="262">
        <v>47</v>
      </c>
      <c r="C51" s="59" t="s">
        <v>2140</v>
      </c>
      <c r="D51" s="53" t="s">
        <v>2132</v>
      </c>
      <c r="E51" s="54" t="s">
        <v>2133</v>
      </c>
      <c r="F51" s="54" t="s">
        <v>2575</v>
      </c>
      <c r="G51" s="54" t="s">
        <v>2575</v>
      </c>
      <c r="H51" s="53" t="s">
        <v>2575</v>
      </c>
      <c r="I51" s="53" t="s">
        <v>2575</v>
      </c>
      <c r="J51" s="53" t="s">
        <v>537</v>
      </c>
      <c r="K51" s="53" t="s">
        <v>494</v>
      </c>
      <c r="L51" s="266" t="s">
        <v>2141</v>
      </c>
    </row>
    <row r="52" spans="2:12" ht="24" x14ac:dyDescent="0.3">
      <c r="B52" s="262">
        <v>48</v>
      </c>
      <c r="C52" s="59" t="s">
        <v>2142</v>
      </c>
      <c r="D52" s="53" t="s">
        <v>1394</v>
      </c>
      <c r="E52" s="54" t="s">
        <v>1396</v>
      </c>
      <c r="F52" s="54" t="s">
        <v>2575</v>
      </c>
      <c r="G52" s="54" t="s">
        <v>2575</v>
      </c>
      <c r="H52" s="53" t="s">
        <v>2575</v>
      </c>
      <c r="I52" s="53" t="s">
        <v>2575</v>
      </c>
      <c r="J52" s="53" t="s">
        <v>1397</v>
      </c>
      <c r="K52" s="53" t="s">
        <v>1246</v>
      </c>
      <c r="L52" s="266" t="s">
        <v>2143</v>
      </c>
    </row>
    <row r="53" spans="2:12" ht="24" x14ac:dyDescent="0.3">
      <c r="B53" s="262">
        <v>49</v>
      </c>
      <c r="C53" s="59" t="s">
        <v>2144</v>
      </c>
      <c r="D53" s="53" t="s">
        <v>2145</v>
      </c>
      <c r="E53" s="54" t="s">
        <v>1396</v>
      </c>
      <c r="F53" s="54" t="s">
        <v>2575</v>
      </c>
      <c r="G53" s="54" t="s">
        <v>2575</v>
      </c>
      <c r="H53" s="53" t="s">
        <v>2575</v>
      </c>
      <c r="I53" s="53" t="s">
        <v>2575</v>
      </c>
      <c r="J53" s="53" t="s">
        <v>1374</v>
      </c>
      <c r="K53" s="53" t="s">
        <v>1195</v>
      </c>
      <c r="L53" s="266" t="s">
        <v>2584</v>
      </c>
    </row>
    <row r="54" spans="2:12" ht="24" x14ac:dyDescent="0.3">
      <c r="B54" s="262">
        <v>50</v>
      </c>
      <c r="C54" s="59" t="s">
        <v>2146</v>
      </c>
      <c r="D54" s="53" t="s">
        <v>1240</v>
      </c>
      <c r="E54" s="54" t="s">
        <v>2133</v>
      </c>
      <c r="F54" s="54" t="s">
        <v>2575</v>
      </c>
      <c r="G54" s="54" t="s">
        <v>2575</v>
      </c>
      <c r="H54" s="53" t="s">
        <v>2575</v>
      </c>
      <c r="I54" s="53" t="s">
        <v>2575</v>
      </c>
      <c r="J54" s="53" t="s">
        <v>1397</v>
      </c>
      <c r="K54" s="53" t="s">
        <v>1246</v>
      </c>
      <c r="L54" s="266" t="s">
        <v>2147</v>
      </c>
    </row>
    <row r="55" spans="2:12" ht="24" x14ac:dyDescent="0.3">
      <c r="B55" s="262">
        <v>51</v>
      </c>
      <c r="C55" s="59" t="s">
        <v>2148</v>
      </c>
      <c r="D55" s="53" t="s">
        <v>2149</v>
      </c>
      <c r="E55" s="54" t="s">
        <v>2150</v>
      </c>
      <c r="F55" s="54" t="s">
        <v>2575</v>
      </c>
      <c r="G55" s="54" t="s">
        <v>2575</v>
      </c>
      <c r="H55" s="53" t="s">
        <v>2575</v>
      </c>
      <c r="I55" s="53" t="s">
        <v>2575</v>
      </c>
      <c r="J55" s="53" t="s">
        <v>979</v>
      </c>
      <c r="K55" s="53" t="s">
        <v>1361</v>
      </c>
      <c r="L55" s="266" t="s">
        <v>2151</v>
      </c>
    </row>
    <row r="56" spans="2:12" ht="24" x14ac:dyDescent="0.3">
      <c r="B56" s="262">
        <v>52</v>
      </c>
      <c r="C56" s="59" t="s">
        <v>2152</v>
      </c>
      <c r="D56" s="53" t="s">
        <v>2153</v>
      </c>
      <c r="E56" s="54" t="s">
        <v>2154</v>
      </c>
      <c r="F56" s="54" t="s">
        <v>2575</v>
      </c>
      <c r="G56" s="54" t="s">
        <v>2575</v>
      </c>
      <c r="H56" s="53" t="s">
        <v>2575</v>
      </c>
      <c r="I56" s="53" t="s">
        <v>2575</v>
      </c>
      <c r="J56" s="53" t="s">
        <v>979</v>
      </c>
      <c r="K56" s="53" t="s">
        <v>1361</v>
      </c>
      <c r="L56" s="266" t="s">
        <v>2155</v>
      </c>
    </row>
    <row r="57" spans="2:12" ht="24" x14ac:dyDescent="0.3">
      <c r="B57" s="262">
        <v>53</v>
      </c>
      <c r="C57" s="59" t="s">
        <v>2156</v>
      </c>
      <c r="D57" s="53" t="s">
        <v>2153</v>
      </c>
      <c r="E57" s="54" t="s">
        <v>2154</v>
      </c>
      <c r="F57" s="54" t="s">
        <v>2575</v>
      </c>
      <c r="G57" s="54" t="s">
        <v>2575</v>
      </c>
      <c r="H57" s="53" t="s">
        <v>2575</v>
      </c>
      <c r="I57" s="53" t="s">
        <v>2575</v>
      </c>
      <c r="J57" s="53" t="s">
        <v>979</v>
      </c>
      <c r="K57" s="53" t="s">
        <v>1361</v>
      </c>
      <c r="L57" s="266" t="s">
        <v>2157</v>
      </c>
    </row>
    <row r="58" spans="2:12" ht="24" x14ac:dyDescent="0.3">
      <c r="B58" s="262">
        <v>54</v>
      </c>
      <c r="C58" s="59" t="s">
        <v>2158</v>
      </c>
      <c r="D58" s="53" t="s">
        <v>2159</v>
      </c>
      <c r="E58" s="54" t="s">
        <v>2154</v>
      </c>
      <c r="F58" s="54" t="s">
        <v>2575</v>
      </c>
      <c r="G58" s="54" t="s">
        <v>2575</v>
      </c>
      <c r="H58" s="53" t="s">
        <v>2575</v>
      </c>
      <c r="I58" s="53" t="s">
        <v>2575</v>
      </c>
      <c r="J58" s="53" t="s">
        <v>988</v>
      </c>
      <c r="K58" s="53" t="s">
        <v>2160</v>
      </c>
      <c r="L58" s="266" t="s">
        <v>2161</v>
      </c>
    </row>
    <row r="59" spans="2:12" ht="24" x14ac:dyDescent="0.3">
      <c r="B59" s="262">
        <v>55</v>
      </c>
      <c r="C59" s="59" t="s">
        <v>2162</v>
      </c>
      <c r="D59" s="53" t="s">
        <v>2163</v>
      </c>
      <c r="E59" s="54" t="s">
        <v>2154</v>
      </c>
      <c r="F59" s="54" t="s">
        <v>2575</v>
      </c>
      <c r="G59" s="54" t="s">
        <v>2575</v>
      </c>
      <c r="H59" s="53" t="s">
        <v>2575</v>
      </c>
      <c r="I59" s="53" t="s">
        <v>2575</v>
      </c>
      <c r="J59" s="53" t="s">
        <v>1380</v>
      </c>
      <c r="K59" s="53" t="s">
        <v>738</v>
      </c>
      <c r="L59" s="266" t="s">
        <v>2164</v>
      </c>
    </row>
    <row r="60" spans="2:12" ht="24" x14ac:dyDescent="0.3">
      <c r="B60" s="262">
        <v>56</v>
      </c>
      <c r="C60" s="59" t="s">
        <v>2165</v>
      </c>
      <c r="D60" s="53" t="s">
        <v>2166</v>
      </c>
      <c r="E60" s="54" t="s">
        <v>2150</v>
      </c>
      <c r="F60" s="54" t="s">
        <v>2575</v>
      </c>
      <c r="G60" s="54" t="s">
        <v>2575</v>
      </c>
      <c r="H60" s="53" t="s">
        <v>2575</v>
      </c>
      <c r="I60" s="53" t="s">
        <v>2575</v>
      </c>
      <c r="J60" s="53" t="s">
        <v>1380</v>
      </c>
      <c r="K60" s="53" t="s">
        <v>738</v>
      </c>
      <c r="L60" s="266" t="s">
        <v>2151</v>
      </c>
    </row>
    <row r="61" spans="2:12" ht="24" x14ac:dyDescent="0.3">
      <c r="B61" s="262">
        <v>57</v>
      </c>
      <c r="C61" s="59" t="s">
        <v>2167</v>
      </c>
      <c r="D61" s="53" t="s">
        <v>2168</v>
      </c>
      <c r="E61" s="54" t="s">
        <v>2150</v>
      </c>
      <c r="F61" s="54" t="s">
        <v>2575</v>
      </c>
      <c r="G61" s="54" t="s">
        <v>2575</v>
      </c>
      <c r="H61" s="53" t="s">
        <v>2575</v>
      </c>
      <c r="I61" s="53" t="s">
        <v>2575</v>
      </c>
      <c r="J61" s="53" t="s">
        <v>979</v>
      </c>
      <c r="K61" s="53" t="s">
        <v>1361</v>
      </c>
      <c r="L61" s="266" t="s">
        <v>2157</v>
      </c>
    </row>
    <row r="62" spans="2:12" ht="24" x14ac:dyDescent="0.3">
      <c r="B62" s="262">
        <v>58</v>
      </c>
      <c r="C62" s="59" t="s">
        <v>2169</v>
      </c>
      <c r="D62" s="53" t="s">
        <v>2170</v>
      </c>
      <c r="E62" s="54" t="s">
        <v>2150</v>
      </c>
      <c r="F62" s="54" t="s">
        <v>2575</v>
      </c>
      <c r="G62" s="54" t="s">
        <v>2575</v>
      </c>
      <c r="H62" s="53" t="s">
        <v>2575</v>
      </c>
      <c r="I62" s="53" t="s">
        <v>2575</v>
      </c>
      <c r="J62" s="53" t="s">
        <v>988</v>
      </c>
      <c r="K62" s="53" t="s">
        <v>2160</v>
      </c>
      <c r="L62" s="266" t="s">
        <v>2151</v>
      </c>
    </row>
    <row r="63" spans="2:12" ht="24" x14ac:dyDescent="0.3">
      <c r="B63" s="262">
        <v>59</v>
      </c>
      <c r="C63" s="59" t="s">
        <v>2171</v>
      </c>
      <c r="D63" s="53" t="s">
        <v>2172</v>
      </c>
      <c r="E63" s="54" t="s">
        <v>2150</v>
      </c>
      <c r="F63" s="54" t="s">
        <v>2575</v>
      </c>
      <c r="G63" s="54" t="s">
        <v>2575</v>
      </c>
      <c r="H63" s="53" t="s">
        <v>2575</v>
      </c>
      <c r="I63" s="53" t="s">
        <v>2575</v>
      </c>
      <c r="J63" s="53" t="s">
        <v>979</v>
      </c>
      <c r="K63" s="53" t="s">
        <v>1361</v>
      </c>
      <c r="L63" s="266" t="s">
        <v>2173</v>
      </c>
    </row>
    <row r="64" spans="2:12" ht="24" x14ac:dyDescent="0.3">
      <c r="B64" s="262">
        <v>60</v>
      </c>
      <c r="C64" s="59" t="s">
        <v>2174</v>
      </c>
      <c r="D64" s="53" t="s">
        <v>2175</v>
      </c>
      <c r="E64" s="54" t="s">
        <v>2150</v>
      </c>
      <c r="F64" s="54" t="s">
        <v>2575</v>
      </c>
      <c r="G64" s="54" t="s">
        <v>2575</v>
      </c>
      <c r="H64" s="53" t="s">
        <v>2575</v>
      </c>
      <c r="I64" s="53" t="s">
        <v>2575</v>
      </c>
      <c r="J64" s="53" t="s">
        <v>988</v>
      </c>
      <c r="K64" s="53" t="s">
        <v>2176</v>
      </c>
      <c r="L64" s="266" t="s">
        <v>2177</v>
      </c>
    </row>
    <row r="65" spans="2:12" ht="24" x14ac:dyDescent="0.3">
      <c r="B65" s="262">
        <v>61</v>
      </c>
      <c r="C65" s="59" t="s">
        <v>2178</v>
      </c>
      <c r="D65" s="53" t="s">
        <v>2179</v>
      </c>
      <c r="E65" s="54" t="s">
        <v>2180</v>
      </c>
      <c r="F65" s="54" t="s">
        <v>2575</v>
      </c>
      <c r="G65" s="54" t="s">
        <v>2575</v>
      </c>
      <c r="H65" s="53" t="s">
        <v>2575</v>
      </c>
      <c r="I65" s="53" t="s">
        <v>2575</v>
      </c>
      <c r="J65" s="53" t="s">
        <v>979</v>
      </c>
      <c r="K65" s="53" t="s">
        <v>2181</v>
      </c>
      <c r="L65" s="266" t="s">
        <v>2585</v>
      </c>
    </row>
    <row r="66" spans="2:12" ht="24" x14ac:dyDescent="0.3">
      <c r="B66" s="262">
        <v>62</v>
      </c>
      <c r="C66" s="59" t="s">
        <v>2182</v>
      </c>
      <c r="D66" s="53" t="s">
        <v>2183</v>
      </c>
      <c r="E66" s="54" t="s">
        <v>2180</v>
      </c>
      <c r="F66" s="54" t="s">
        <v>2575</v>
      </c>
      <c r="G66" s="54" t="s">
        <v>2575</v>
      </c>
      <c r="H66" s="53" t="s">
        <v>2575</v>
      </c>
      <c r="I66" s="53" t="s">
        <v>2575</v>
      </c>
      <c r="J66" s="53" t="s">
        <v>979</v>
      </c>
      <c r="K66" s="53" t="s">
        <v>2181</v>
      </c>
      <c r="L66" s="266" t="s">
        <v>2184</v>
      </c>
    </row>
    <row r="67" spans="2:12" ht="24" x14ac:dyDescent="0.3">
      <c r="B67" s="262">
        <v>63</v>
      </c>
      <c r="C67" s="59" t="s">
        <v>2185</v>
      </c>
      <c r="D67" s="53" t="s">
        <v>2186</v>
      </c>
      <c r="E67" s="54" t="s">
        <v>2180</v>
      </c>
      <c r="F67" s="54" t="s">
        <v>2575</v>
      </c>
      <c r="G67" s="54" t="s">
        <v>2575</v>
      </c>
      <c r="H67" s="53" t="s">
        <v>2575</v>
      </c>
      <c r="I67" s="53" t="s">
        <v>2575</v>
      </c>
      <c r="J67" s="53" t="s">
        <v>988</v>
      </c>
      <c r="K67" s="53" t="s">
        <v>2187</v>
      </c>
      <c r="L67" s="266" t="s">
        <v>2184</v>
      </c>
    </row>
    <row r="68" spans="2:12" ht="24" x14ac:dyDescent="0.3">
      <c r="B68" s="262">
        <v>64</v>
      </c>
      <c r="C68" s="59" t="s">
        <v>2188</v>
      </c>
      <c r="D68" s="53" t="s">
        <v>2189</v>
      </c>
      <c r="E68" s="54" t="s">
        <v>2330</v>
      </c>
      <c r="F68" s="54" t="s">
        <v>2575</v>
      </c>
      <c r="G68" s="54" t="s">
        <v>2575</v>
      </c>
      <c r="H68" s="53" t="s">
        <v>2575</v>
      </c>
      <c r="I68" s="53" t="s">
        <v>2575</v>
      </c>
      <c r="J68" s="53" t="s">
        <v>979</v>
      </c>
      <c r="K68" s="53" t="s">
        <v>2181</v>
      </c>
      <c r="L68" s="266" t="s">
        <v>2190</v>
      </c>
    </row>
    <row r="69" spans="2:12" ht="24" x14ac:dyDescent="0.3">
      <c r="B69" s="262">
        <v>65</v>
      </c>
      <c r="C69" s="59" t="s">
        <v>2191</v>
      </c>
      <c r="D69" s="53" t="s">
        <v>2334</v>
      </c>
      <c r="E69" s="54" t="s">
        <v>2192</v>
      </c>
      <c r="F69" s="54" t="s">
        <v>2575</v>
      </c>
      <c r="G69" s="54" t="s">
        <v>2575</v>
      </c>
      <c r="H69" s="53" t="s">
        <v>2575</v>
      </c>
      <c r="I69" s="53" t="s">
        <v>2575</v>
      </c>
      <c r="J69" s="53" t="s">
        <v>979</v>
      </c>
      <c r="K69" s="53" t="s">
        <v>2181</v>
      </c>
      <c r="L69" s="266" t="s">
        <v>2193</v>
      </c>
    </row>
    <row r="70" spans="2:12" ht="24" x14ac:dyDescent="0.3">
      <c r="B70" s="262">
        <v>66</v>
      </c>
      <c r="C70" s="59" t="s">
        <v>2194</v>
      </c>
      <c r="D70" s="53" t="s">
        <v>2340</v>
      </c>
      <c r="E70" s="54" t="s">
        <v>2192</v>
      </c>
      <c r="F70" s="54" t="s">
        <v>2575</v>
      </c>
      <c r="G70" s="54" t="s">
        <v>2575</v>
      </c>
      <c r="H70" s="53" t="s">
        <v>2575</v>
      </c>
      <c r="I70" s="53" t="s">
        <v>2575</v>
      </c>
      <c r="J70" s="53" t="s">
        <v>988</v>
      </c>
      <c r="K70" s="53" t="s">
        <v>2187</v>
      </c>
      <c r="L70" s="266" t="s">
        <v>2155</v>
      </c>
    </row>
    <row r="71" spans="2:12" ht="24" x14ac:dyDescent="0.3">
      <c r="B71" s="262">
        <v>67</v>
      </c>
      <c r="C71" s="59" t="s">
        <v>2197</v>
      </c>
      <c r="D71" s="53" t="s">
        <v>2586</v>
      </c>
      <c r="E71" s="54" t="s">
        <v>2199</v>
      </c>
      <c r="F71" s="54" t="s">
        <v>2575</v>
      </c>
      <c r="G71" s="54" t="s">
        <v>2575</v>
      </c>
      <c r="H71" s="53" t="s">
        <v>2575</v>
      </c>
      <c r="I71" s="53" t="s">
        <v>2575</v>
      </c>
      <c r="J71" s="53" t="s">
        <v>1031</v>
      </c>
      <c r="K71" s="53" t="s">
        <v>2587</v>
      </c>
      <c r="L71" s="266" t="s">
        <v>2155</v>
      </c>
    </row>
    <row r="72" spans="2:12" ht="24" x14ac:dyDescent="0.3">
      <c r="B72" s="262">
        <v>68</v>
      </c>
      <c r="C72" s="59" t="s">
        <v>2202</v>
      </c>
      <c r="D72" s="53" t="s">
        <v>2203</v>
      </c>
      <c r="E72" s="54" t="s">
        <v>2204</v>
      </c>
      <c r="F72" s="54" t="s">
        <v>2575</v>
      </c>
      <c r="G72" s="54" t="s">
        <v>2575</v>
      </c>
      <c r="H72" s="53" t="s">
        <v>2575</v>
      </c>
      <c r="I72" s="53" t="s">
        <v>2575</v>
      </c>
      <c r="J72" s="53" t="s">
        <v>2205</v>
      </c>
      <c r="K72" s="53" t="s">
        <v>1284</v>
      </c>
      <c r="L72" s="266" t="s">
        <v>2207</v>
      </c>
    </row>
    <row r="73" spans="2:12" ht="24" x14ac:dyDescent="0.3">
      <c r="B73" s="262">
        <v>69</v>
      </c>
      <c r="C73" s="59" t="s">
        <v>2208</v>
      </c>
      <c r="D73" s="53" t="s">
        <v>2209</v>
      </c>
      <c r="E73" s="54" t="s">
        <v>2154</v>
      </c>
      <c r="F73" s="54" t="s">
        <v>2575</v>
      </c>
      <c r="G73" s="54" t="s">
        <v>2575</v>
      </c>
      <c r="H73" s="53" t="s">
        <v>2575</v>
      </c>
      <c r="I73" s="53" t="s">
        <v>2575</v>
      </c>
      <c r="J73" s="53" t="s">
        <v>2210</v>
      </c>
      <c r="K73" s="53" t="s">
        <v>1326</v>
      </c>
      <c r="L73" s="266" t="s">
        <v>2585</v>
      </c>
    </row>
    <row r="74" spans="2:12" ht="24" x14ac:dyDescent="0.3">
      <c r="B74" s="262">
        <v>70</v>
      </c>
      <c r="C74" s="59" t="s">
        <v>2211</v>
      </c>
      <c r="D74" s="53" t="s">
        <v>2212</v>
      </c>
      <c r="E74" s="54" t="s">
        <v>1396</v>
      </c>
      <c r="F74" s="54" t="s">
        <v>2575</v>
      </c>
      <c r="G74" s="54" t="s">
        <v>2575</v>
      </c>
      <c r="H74" s="53" t="s">
        <v>2575</v>
      </c>
      <c r="I74" s="53" t="s">
        <v>2575</v>
      </c>
      <c r="J74" s="53" t="s">
        <v>2213</v>
      </c>
      <c r="K74" s="53" t="s">
        <v>1293</v>
      </c>
      <c r="L74" s="266" t="s">
        <v>2157</v>
      </c>
    </row>
    <row r="75" spans="2:12" ht="24" x14ac:dyDescent="0.3">
      <c r="B75" s="262">
        <v>71</v>
      </c>
      <c r="C75" s="59" t="s">
        <v>2215</v>
      </c>
      <c r="D75" s="53" t="s">
        <v>2216</v>
      </c>
      <c r="E75" s="54" t="s">
        <v>2150</v>
      </c>
      <c r="F75" s="54" t="s">
        <v>2575</v>
      </c>
      <c r="G75" s="54" t="s">
        <v>2575</v>
      </c>
      <c r="H75" s="53" t="s">
        <v>2575</v>
      </c>
      <c r="I75" s="53" t="s">
        <v>2575</v>
      </c>
      <c r="J75" s="53" t="s">
        <v>1389</v>
      </c>
      <c r="K75" s="53" t="s">
        <v>2217</v>
      </c>
      <c r="L75" s="266" t="s">
        <v>2218</v>
      </c>
    </row>
    <row r="76" spans="2:12" ht="24" x14ac:dyDescent="0.3">
      <c r="B76" s="262">
        <v>72</v>
      </c>
      <c r="C76" s="59" t="s">
        <v>2219</v>
      </c>
      <c r="D76" s="53" t="s">
        <v>2220</v>
      </c>
      <c r="E76" s="54" t="s">
        <v>2221</v>
      </c>
      <c r="F76" s="54" t="s">
        <v>2575</v>
      </c>
      <c r="G76" s="54" t="s">
        <v>2575</v>
      </c>
      <c r="H76" s="53" t="s">
        <v>2575</v>
      </c>
      <c r="I76" s="53" t="s">
        <v>2575</v>
      </c>
      <c r="J76" s="53" t="s">
        <v>537</v>
      </c>
      <c r="K76" s="53" t="s">
        <v>2222</v>
      </c>
      <c r="L76" s="266" t="s">
        <v>2223</v>
      </c>
    </row>
    <row r="77" spans="2:12" ht="24" x14ac:dyDescent="0.3">
      <c r="B77" s="262">
        <v>73</v>
      </c>
      <c r="C77" s="59" t="s">
        <v>2224</v>
      </c>
      <c r="D77" s="53" t="s">
        <v>2225</v>
      </c>
      <c r="E77" s="54" t="s">
        <v>2129</v>
      </c>
      <c r="F77" s="54" t="s">
        <v>2575</v>
      </c>
      <c r="G77" s="54" t="s">
        <v>2575</v>
      </c>
      <c r="H77" s="53" t="s">
        <v>2575</v>
      </c>
      <c r="I77" s="53" t="s">
        <v>2575</v>
      </c>
      <c r="J77" s="53" t="s">
        <v>1374</v>
      </c>
      <c r="K77" s="53" t="s">
        <v>1195</v>
      </c>
      <c r="L77" s="266" t="s">
        <v>2226</v>
      </c>
    </row>
    <row r="78" spans="2:12" ht="24" x14ac:dyDescent="0.3">
      <c r="B78" s="262">
        <v>74</v>
      </c>
      <c r="C78" s="59" t="s">
        <v>2227</v>
      </c>
      <c r="D78" s="53" t="s">
        <v>2225</v>
      </c>
      <c r="E78" s="54" t="s">
        <v>2129</v>
      </c>
      <c r="F78" s="54" t="s">
        <v>2575</v>
      </c>
      <c r="G78" s="54" t="s">
        <v>2575</v>
      </c>
      <c r="H78" s="53" t="s">
        <v>2575</v>
      </c>
      <c r="I78" s="53" t="s">
        <v>2575</v>
      </c>
      <c r="J78" s="53" t="s">
        <v>1374</v>
      </c>
      <c r="K78" s="53" t="s">
        <v>1195</v>
      </c>
      <c r="L78" s="266" t="s">
        <v>2151</v>
      </c>
    </row>
    <row r="79" spans="2:12" ht="24" x14ac:dyDescent="0.3">
      <c r="B79" s="262">
        <v>75</v>
      </c>
      <c r="C79" s="59" t="s">
        <v>2228</v>
      </c>
      <c r="D79" s="53" t="s">
        <v>2229</v>
      </c>
      <c r="E79" s="54" t="s">
        <v>2129</v>
      </c>
      <c r="F79" s="54" t="s">
        <v>2575</v>
      </c>
      <c r="G79" s="54" t="s">
        <v>2575</v>
      </c>
      <c r="H79" s="53" t="s">
        <v>2575</v>
      </c>
      <c r="I79" s="53" t="s">
        <v>2575</v>
      </c>
      <c r="J79" s="53" t="s">
        <v>537</v>
      </c>
      <c r="K79" s="53" t="s">
        <v>494</v>
      </c>
      <c r="L79" s="266" t="s">
        <v>2230</v>
      </c>
    </row>
    <row r="80" spans="2:12" ht="24" x14ac:dyDescent="0.3">
      <c r="B80" s="262">
        <v>76</v>
      </c>
      <c r="C80" s="59" t="s">
        <v>2231</v>
      </c>
      <c r="D80" s="53" t="s">
        <v>2229</v>
      </c>
      <c r="E80" s="54" t="s">
        <v>2129</v>
      </c>
      <c r="F80" s="54" t="s">
        <v>2575</v>
      </c>
      <c r="G80" s="54" t="s">
        <v>2575</v>
      </c>
      <c r="H80" s="53" t="s">
        <v>2575</v>
      </c>
      <c r="I80" s="53" t="s">
        <v>2575</v>
      </c>
      <c r="J80" s="53" t="s">
        <v>537</v>
      </c>
      <c r="K80" s="53" t="s">
        <v>494</v>
      </c>
      <c r="L80" s="266" t="s">
        <v>2232</v>
      </c>
    </row>
    <row r="81" spans="2:12" ht="24" x14ac:dyDescent="0.3">
      <c r="B81" s="262">
        <v>77</v>
      </c>
      <c r="C81" s="59" t="s">
        <v>2233</v>
      </c>
      <c r="D81" s="53" t="s">
        <v>2234</v>
      </c>
      <c r="E81" s="54" t="s">
        <v>2133</v>
      </c>
      <c r="F81" s="54" t="s">
        <v>2575</v>
      </c>
      <c r="G81" s="54" t="s">
        <v>2575</v>
      </c>
      <c r="H81" s="53" t="s">
        <v>2575</v>
      </c>
      <c r="I81" s="53" t="s">
        <v>2575</v>
      </c>
      <c r="J81" s="53" t="s">
        <v>1374</v>
      </c>
      <c r="K81" s="53" t="s">
        <v>1195</v>
      </c>
      <c r="L81" s="266" t="s">
        <v>2157</v>
      </c>
    </row>
    <row r="82" spans="2:12" ht="24" x14ac:dyDescent="0.3">
      <c r="B82" s="262">
        <v>78</v>
      </c>
      <c r="C82" s="59" t="s">
        <v>2235</v>
      </c>
      <c r="D82" s="53" t="s">
        <v>2236</v>
      </c>
      <c r="E82" s="54" t="s">
        <v>2133</v>
      </c>
      <c r="F82" s="54" t="s">
        <v>2575</v>
      </c>
      <c r="G82" s="54" t="s">
        <v>2575</v>
      </c>
      <c r="H82" s="53" t="s">
        <v>2575</v>
      </c>
      <c r="I82" s="53" t="s">
        <v>2575</v>
      </c>
      <c r="J82" s="53" t="s">
        <v>2237</v>
      </c>
      <c r="K82" s="53" t="s">
        <v>494</v>
      </c>
      <c r="L82" s="266" t="s">
        <v>2157</v>
      </c>
    </row>
    <row r="83" spans="2:12" ht="24" x14ac:dyDescent="0.3">
      <c r="B83" s="262">
        <v>79</v>
      </c>
      <c r="C83" s="59" t="s">
        <v>2238</v>
      </c>
      <c r="D83" s="53" t="s">
        <v>2239</v>
      </c>
      <c r="E83" s="54" t="s">
        <v>2133</v>
      </c>
      <c r="F83" s="54" t="s">
        <v>2575</v>
      </c>
      <c r="G83" s="54" t="s">
        <v>2575</v>
      </c>
      <c r="H83" s="53" t="s">
        <v>2575</v>
      </c>
      <c r="I83" s="53" t="s">
        <v>2575</v>
      </c>
      <c r="J83" s="53" t="s">
        <v>1397</v>
      </c>
      <c r="K83" s="53" t="s">
        <v>1246</v>
      </c>
      <c r="L83" s="266" t="s">
        <v>2240</v>
      </c>
    </row>
    <row r="84" spans="2:12" ht="24" x14ac:dyDescent="0.3">
      <c r="B84" s="262">
        <v>80</v>
      </c>
      <c r="C84" s="59" t="s">
        <v>2241</v>
      </c>
      <c r="D84" s="53" t="s">
        <v>2242</v>
      </c>
      <c r="E84" s="54" t="s">
        <v>2243</v>
      </c>
      <c r="F84" s="54" t="s">
        <v>2575</v>
      </c>
      <c r="G84" s="54" t="s">
        <v>2575</v>
      </c>
      <c r="H84" s="53" t="s">
        <v>2575</v>
      </c>
      <c r="I84" s="53" t="s">
        <v>2575</v>
      </c>
      <c r="J84" s="53" t="s">
        <v>2244</v>
      </c>
      <c r="K84" s="53" t="s">
        <v>1246</v>
      </c>
      <c r="L84" s="266" t="s">
        <v>2245</v>
      </c>
    </row>
    <row r="85" spans="2:12" ht="24" x14ac:dyDescent="0.3">
      <c r="B85" s="262">
        <v>81</v>
      </c>
      <c r="C85" s="59" t="s">
        <v>2246</v>
      </c>
      <c r="D85" s="53" t="s">
        <v>2247</v>
      </c>
      <c r="E85" s="54" t="s">
        <v>2243</v>
      </c>
      <c r="F85" s="54" t="s">
        <v>2575</v>
      </c>
      <c r="G85" s="54" t="s">
        <v>2575</v>
      </c>
      <c r="H85" s="53" t="s">
        <v>2575</v>
      </c>
      <c r="I85" s="53" t="s">
        <v>2575</v>
      </c>
      <c r="J85" s="53" t="s">
        <v>970</v>
      </c>
      <c r="K85" s="53" t="s">
        <v>1246</v>
      </c>
      <c r="L85" s="266" t="s">
        <v>2151</v>
      </c>
    </row>
    <row r="86" spans="2:12" ht="24" x14ac:dyDescent="0.3">
      <c r="B86" s="262">
        <v>82</v>
      </c>
      <c r="C86" s="59" t="s">
        <v>2248</v>
      </c>
      <c r="D86" s="53" t="s">
        <v>2249</v>
      </c>
      <c r="E86" s="54" t="s">
        <v>2243</v>
      </c>
      <c r="F86" s="54" t="s">
        <v>2575</v>
      </c>
      <c r="G86" s="54" t="s">
        <v>2575</v>
      </c>
      <c r="H86" s="53" t="s">
        <v>2575</v>
      </c>
      <c r="I86" s="53" t="s">
        <v>2575</v>
      </c>
      <c r="J86" s="53" t="s">
        <v>979</v>
      </c>
      <c r="K86" s="53" t="s">
        <v>1275</v>
      </c>
      <c r="L86" s="266" t="s">
        <v>2157</v>
      </c>
    </row>
    <row r="87" spans="2:12" ht="24" x14ac:dyDescent="0.3">
      <c r="B87" s="262">
        <v>83</v>
      </c>
      <c r="C87" s="59" t="s">
        <v>2250</v>
      </c>
      <c r="D87" s="53" t="s">
        <v>2251</v>
      </c>
      <c r="E87" s="54" t="s">
        <v>2252</v>
      </c>
      <c r="F87" s="54" t="s">
        <v>2575</v>
      </c>
      <c r="G87" s="54" t="s">
        <v>2575</v>
      </c>
      <c r="H87" s="53" t="s">
        <v>2575</v>
      </c>
      <c r="I87" s="53" t="s">
        <v>2575</v>
      </c>
      <c r="J87" s="53" t="s">
        <v>1949</v>
      </c>
      <c r="K87" s="53" t="s">
        <v>682</v>
      </c>
      <c r="L87" s="266" t="s">
        <v>2254</v>
      </c>
    </row>
    <row r="88" spans="2:12" ht="24" x14ac:dyDescent="0.3">
      <c r="B88" s="262">
        <v>84</v>
      </c>
      <c r="C88" s="59" t="s">
        <v>2255</v>
      </c>
      <c r="D88" s="53" t="s">
        <v>2256</v>
      </c>
      <c r="E88" s="54" t="s">
        <v>1251</v>
      </c>
      <c r="F88" s="54" t="s">
        <v>2575</v>
      </c>
      <c r="G88" s="54" t="s">
        <v>2575</v>
      </c>
      <c r="H88" s="53" t="s">
        <v>2575</v>
      </c>
      <c r="I88" s="53" t="s">
        <v>2575</v>
      </c>
      <c r="J88" s="53" t="s">
        <v>2257</v>
      </c>
      <c r="K88" s="53" t="s">
        <v>682</v>
      </c>
      <c r="L88" s="266" t="s">
        <v>2258</v>
      </c>
    </row>
    <row r="89" spans="2:12" ht="24" x14ac:dyDescent="0.3">
      <c r="B89" s="262">
        <v>85</v>
      </c>
      <c r="C89" s="59" t="s">
        <v>2259</v>
      </c>
      <c r="D89" s="53" t="s">
        <v>2260</v>
      </c>
      <c r="E89" s="54" t="s">
        <v>2261</v>
      </c>
      <c r="F89" s="54" t="s">
        <v>2575</v>
      </c>
      <c r="G89" s="54" t="s">
        <v>2575</v>
      </c>
      <c r="H89" s="53" t="s">
        <v>2575</v>
      </c>
      <c r="I89" s="53" t="s">
        <v>2575</v>
      </c>
      <c r="J89" s="53" t="s">
        <v>2257</v>
      </c>
      <c r="K89" s="53" t="s">
        <v>2532</v>
      </c>
      <c r="L89" s="266" t="s">
        <v>2263</v>
      </c>
    </row>
    <row r="90" spans="2:12" ht="24" x14ac:dyDescent="0.3">
      <c r="B90" s="262">
        <v>86</v>
      </c>
      <c r="C90" s="59" t="s">
        <v>2264</v>
      </c>
      <c r="D90" s="53" t="s">
        <v>2265</v>
      </c>
      <c r="E90" s="54" t="s">
        <v>2266</v>
      </c>
      <c r="F90" s="62" t="s">
        <v>2575</v>
      </c>
      <c r="G90" s="54" t="s">
        <v>2575</v>
      </c>
      <c r="H90" s="53" t="s">
        <v>2575</v>
      </c>
      <c r="I90" s="53" t="s">
        <v>2575</v>
      </c>
      <c r="J90" s="53" t="s">
        <v>1949</v>
      </c>
      <c r="K90" s="53" t="s">
        <v>682</v>
      </c>
      <c r="L90" s="266" t="s">
        <v>2130</v>
      </c>
    </row>
    <row r="91" spans="2:12" ht="24" x14ac:dyDescent="0.3">
      <c r="B91" s="262">
        <v>87</v>
      </c>
      <c r="C91" s="59" t="s">
        <v>2267</v>
      </c>
      <c r="D91" s="53" t="s">
        <v>2268</v>
      </c>
      <c r="E91" s="54" t="s">
        <v>2269</v>
      </c>
      <c r="F91" s="54" t="s">
        <v>2575</v>
      </c>
      <c r="G91" s="54" t="s">
        <v>2575</v>
      </c>
      <c r="H91" s="53" t="s">
        <v>2575</v>
      </c>
      <c r="I91" s="53" t="s">
        <v>2575</v>
      </c>
      <c r="J91" s="53" t="s">
        <v>1949</v>
      </c>
      <c r="K91" s="53" t="s">
        <v>682</v>
      </c>
      <c r="L91" s="266" t="s">
        <v>2270</v>
      </c>
    </row>
    <row r="92" spans="2:12" ht="24" x14ac:dyDescent="0.3">
      <c r="B92" s="262">
        <v>88</v>
      </c>
      <c r="C92" s="59" t="s">
        <v>2271</v>
      </c>
      <c r="D92" s="53" t="s">
        <v>2272</v>
      </c>
      <c r="E92" s="54" t="s">
        <v>2273</v>
      </c>
      <c r="F92" s="54" t="s">
        <v>2575</v>
      </c>
      <c r="G92" s="54" t="s">
        <v>2575</v>
      </c>
      <c r="H92" s="53" t="s">
        <v>2575</v>
      </c>
      <c r="I92" s="53" t="s">
        <v>2575</v>
      </c>
      <c r="J92" s="53" t="s">
        <v>1664</v>
      </c>
      <c r="K92" s="53" t="s">
        <v>2533</v>
      </c>
      <c r="L92" s="266" t="s">
        <v>2207</v>
      </c>
    </row>
    <row r="93" spans="2:12" ht="24" x14ac:dyDescent="0.3">
      <c r="B93" s="262">
        <v>89</v>
      </c>
      <c r="C93" s="59" t="s">
        <v>2275</v>
      </c>
      <c r="D93" s="53" t="s">
        <v>2276</v>
      </c>
      <c r="E93" s="54" t="s">
        <v>2129</v>
      </c>
      <c r="F93" s="62" t="s">
        <v>2575</v>
      </c>
      <c r="G93" s="54" t="s">
        <v>2575</v>
      </c>
      <c r="H93" s="53" t="s">
        <v>2575</v>
      </c>
      <c r="I93" s="53" t="s">
        <v>2575</v>
      </c>
      <c r="J93" s="53" t="s">
        <v>1949</v>
      </c>
      <c r="K93" s="53" t="s">
        <v>2534</v>
      </c>
      <c r="L93" s="266" t="s">
        <v>2585</v>
      </c>
    </row>
    <row r="94" spans="2:12" ht="24" x14ac:dyDescent="0.3">
      <c r="B94" s="262">
        <v>90</v>
      </c>
      <c r="C94" s="59" t="s">
        <v>2278</v>
      </c>
      <c r="D94" s="53" t="s">
        <v>2279</v>
      </c>
      <c r="E94" s="54" t="s">
        <v>2280</v>
      </c>
      <c r="F94" s="54" t="s">
        <v>2575</v>
      </c>
      <c r="G94" s="54" t="s">
        <v>2575</v>
      </c>
      <c r="H94" s="53" t="s">
        <v>2575</v>
      </c>
      <c r="I94" s="53" t="s">
        <v>2575</v>
      </c>
      <c r="J94" s="53" t="s">
        <v>2281</v>
      </c>
      <c r="K94" s="53" t="s">
        <v>1261</v>
      </c>
      <c r="L94" s="266" t="s">
        <v>2283</v>
      </c>
    </row>
    <row r="95" spans="2:12" ht="24" x14ac:dyDescent="0.3">
      <c r="B95" s="262">
        <v>91</v>
      </c>
      <c r="C95" s="59" t="s">
        <v>2284</v>
      </c>
      <c r="D95" s="53" t="s">
        <v>2285</v>
      </c>
      <c r="E95" s="54" t="s">
        <v>2243</v>
      </c>
      <c r="F95" s="54" t="s">
        <v>2575</v>
      </c>
      <c r="G95" s="54" t="s">
        <v>2575</v>
      </c>
      <c r="H95" s="53" t="s">
        <v>2575</v>
      </c>
      <c r="I95" s="53" t="s">
        <v>2575</v>
      </c>
      <c r="J95" s="53" t="s">
        <v>1664</v>
      </c>
      <c r="K95" s="53" t="s">
        <v>2533</v>
      </c>
      <c r="L95" s="266" t="s">
        <v>2585</v>
      </c>
    </row>
    <row r="96" spans="2:12" ht="24" x14ac:dyDescent="0.3">
      <c r="B96" s="262">
        <v>92</v>
      </c>
      <c r="C96" s="59" t="s">
        <v>2286</v>
      </c>
      <c r="D96" s="53" t="s">
        <v>2287</v>
      </c>
      <c r="E96" s="54" t="s">
        <v>2243</v>
      </c>
      <c r="F96" s="54" t="s">
        <v>2575</v>
      </c>
      <c r="G96" s="54" t="s">
        <v>2575</v>
      </c>
      <c r="H96" s="53" t="s">
        <v>2575</v>
      </c>
      <c r="I96" s="53" t="s">
        <v>2575</v>
      </c>
      <c r="J96" s="53" t="s">
        <v>2257</v>
      </c>
      <c r="K96" s="53" t="s">
        <v>682</v>
      </c>
      <c r="L96" s="266" t="s">
        <v>2288</v>
      </c>
    </row>
    <row r="97" spans="2:12" ht="24" x14ac:dyDescent="0.3">
      <c r="B97" s="262">
        <v>93</v>
      </c>
      <c r="C97" s="59" t="s">
        <v>2289</v>
      </c>
      <c r="D97" s="53" t="s">
        <v>2290</v>
      </c>
      <c r="E97" s="54" t="s">
        <v>2129</v>
      </c>
      <c r="F97" s="54" t="s">
        <v>2575</v>
      </c>
      <c r="G97" s="54" t="s">
        <v>2575</v>
      </c>
      <c r="H97" s="53" t="s">
        <v>2575</v>
      </c>
      <c r="I97" s="53" t="s">
        <v>2575</v>
      </c>
      <c r="J97" s="53" t="s">
        <v>537</v>
      </c>
      <c r="K97" s="53" t="s">
        <v>494</v>
      </c>
      <c r="L97" s="266" t="s">
        <v>2291</v>
      </c>
    </row>
    <row r="98" spans="2:12" ht="24" x14ac:dyDescent="0.3">
      <c r="B98" s="262">
        <v>94</v>
      </c>
      <c r="C98" s="59" t="s">
        <v>2292</v>
      </c>
      <c r="D98" s="53" t="s">
        <v>2138</v>
      </c>
      <c r="E98" s="54" t="s">
        <v>2133</v>
      </c>
      <c r="F98" s="54" t="s">
        <v>2575</v>
      </c>
      <c r="G98" s="54" t="s">
        <v>2575</v>
      </c>
      <c r="H98" s="53" t="s">
        <v>2575</v>
      </c>
      <c r="I98" s="53" t="s">
        <v>2575</v>
      </c>
      <c r="J98" s="53" t="s">
        <v>1374</v>
      </c>
      <c r="K98" s="53" t="s">
        <v>1195</v>
      </c>
      <c r="L98" s="266" t="s">
        <v>2134</v>
      </c>
    </row>
    <row r="99" spans="2:12" ht="24" x14ac:dyDescent="0.3">
      <c r="B99" s="262">
        <v>95</v>
      </c>
      <c r="C99" s="59" t="s">
        <v>2293</v>
      </c>
      <c r="D99" s="53" t="s">
        <v>2128</v>
      </c>
      <c r="E99" s="54" t="s">
        <v>2129</v>
      </c>
      <c r="F99" s="54" t="s">
        <v>2575</v>
      </c>
      <c r="G99" s="54" t="s">
        <v>2575</v>
      </c>
      <c r="H99" s="53" t="s">
        <v>2575</v>
      </c>
      <c r="I99" s="53" t="s">
        <v>2575</v>
      </c>
      <c r="J99" s="53" t="s">
        <v>1374</v>
      </c>
      <c r="K99" s="53" t="s">
        <v>1195</v>
      </c>
      <c r="L99" s="266" t="s">
        <v>2294</v>
      </c>
    </row>
    <row r="100" spans="2:12" ht="24" x14ac:dyDescent="0.3">
      <c r="B100" s="262">
        <v>96</v>
      </c>
      <c r="C100" s="59" t="s">
        <v>2295</v>
      </c>
      <c r="D100" s="53" t="s">
        <v>2132</v>
      </c>
      <c r="E100" s="54" t="s">
        <v>2133</v>
      </c>
      <c r="F100" s="54" t="s">
        <v>2575</v>
      </c>
      <c r="G100" s="54" t="s">
        <v>2575</v>
      </c>
      <c r="H100" s="53" t="s">
        <v>2575</v>
      </c>
      <c r="I100" s="53" t="s">
        <v>2575</v>
      </c>
      <c r="J100" s="53" t="s">
        <v>2237</v>
      </c>
      <c r="K100" s="53" t="s">
        <v>494</v>
      </c>
      <c r="L100" s="266" t="s">
        <v>2136</v>
      </c>
    </row>
    <row r="101" spans="2:12" ht="24" x14ac:dyDescent="0.3">
      <c r="B101" s="262">
        <v>97</v>
      </c>
      <c r="C101" s="59" t="s">
        <v>2296</v>
      </c>
      <c r="D101" s="53" t="s">
        <v>1240</v>
      </c>
      <c r="E101" s="54" t="s">
        <v>2133</v>
      </c>
      <c r="F101" s="54" t="s">
        <v>2575</v>
      </c>
      <c r="G101" s="54" t="s">
        <v>2575</v>
      </c>
      <c r="H101" s="53" t="s">
        <v>2575</v>
      </c>
      <c r="I101" s="53" t="s">
        <v>2575</v>
      </c>
      <c r="J101" s="53" t="s">
        <v>1397</v>
      </c>
      <c r="K101" s="53" t="s">
        <v>1246</v>
      </c>
      <c r="L101" s="266" t="s">
        <v>2297</v>
      </c>
    </row>
    <row r="102" spans="2:12" ht="24" x14ac:dyDescent="0.3">
      <c r="B102" s="262">
        <v>98</v>
      </c>
      <c r="C102" s="59" t="s">
        <v>2298</v>
      </c>
      <c r="D102" s="53" t="s">
        <v>2299</v>
      </c>
      <c r="E102" s="54" t="s">
        <v>1396</v>
      </c>
      <c r="F102" s="54" t="s">
        <v>2575</v>
      </c>
      <c r="G102" s="54" t="s">
        <v>2575</v>
      </c>
      <c r="H102" s="53" t="s">
        <v>2575</v>
      </c>
      <c r="I102" s="53" t="s">
        <v>2575</v>
      </c>
      <c r="J102" s="53" t="s">
        <v>1374</v>
      </c>
      <c r="K102" s="53" t="s">
        <v>1246</v>
      </c>
      <c r="L102" s="266" t="s">
        <v>2300</v>
      </c>
    </row>
    <row r="103" spans="2:12" ht="24" x14ac:dyDescent="0.3">
      <c r="B103" s="262">
        <v>99</v>
      </c>
      <c r="C103" s="59" t="s">
        <v>2301</v>
      </c>
      <c r="D103" s="53" t="s">
        <v>2153</v>
      </c>
      <c r="E103" s="54" t="s">
        <v>2154</v>
      </c>
      <c r="F103" s="54" t="s">
        <v>2575</v>
      </c>
      <c r="G103" s="54" t="s">
        <v>2575</v>
      </c>
      <c r="H103" s="53" t="s">
        <v>2575</v>
      </c>
      <c r="I103" s="53" t="s">
        <v>2575</v>
      </c>
      <c r="J103" s="53" t="s">
        <v>2302</v>
      </c>
      <c r="K103" s="53" t="s">
        <v>1361</v>
      </c>
      <c r="L103" s="266" t="s">
        <v>2164</v>
      </c>
    </row>
    <row r="104" spans="2:12" ht="24" x14ac:dyDescent="0.3">
      <c r="B104" s="262">
        <v>100</v>
      </c>
      <c r="C104" s="59" t="s">
        <v>2303</v>
      </c>
      <c r="D104" s="53" t="s">
        <v>2304</v>
      </c>
      <c r="E104" s="54" t="s">
        <v>1396</v>
      </c>
      <c r="F104" s="54" t="s">
        <v>2575</v>
      </c>
      <c r="G104" s="54" t="s">
        <v>2575</v>
      </c>
      <c r="H104" s="53" t="s">
        <v>2575</v>
      </c>
      <c r="I104" s="53" t="s">
        <v>2575</v>
      </c>
      <c r="J104" s="53" t="s">
        <v>2305</v>
      </c>
      <c r="K104" s="53" t="s">
        <v>1275</v>
      </c>
      <c r="L104" s="266" t="s">
        <v>2306</v>
      </c>
    </row>
    <row r="105" spans="2:12" ht="24" x14ac:dyDescent="0.3">
      <c r="B105" s="262">
        <v>101</v>
      </c>
      <c r="C105" s="59" t="s">
        <v>2307</v>
      </c>
      <c r="D105" s="53" t="s">
        <v>2163</v>
      </c>
      <c r="E105" s="54" t="s">
        <v>2154</v>
      </c>
      <c r="F105" s="54" t="s">
        <v>2575</v>
      </c>
      <c r="G105" s="54" t="s">
        <v>2575</v>
      </c>
      <c r="H105" s="53" t="s">
        <v>2575</v>
      </c>
      <c r="I105" s="53" t="s">
        <v>2575</v>
      </c>
      <c r="J105" s="53" t="s">
        <v>1380</v>
      </c>
      <c r="K105" s="53" t="s">
        <v>738</v>
      </c>
      <c r="L105" s="266" t="s">
        <v>2308</v>
      </c>
    </row>
    <row r="106" spans="2:12" ht="24" x14ac:dyDescent="0.3">
      <c r="B106" s="262">
        <v>102</v>
      </c>
      <c r="C106" s="59" t="s">
        <v>2309</v>
      </c>
      <c r="D106" s="53" t="s">
        <v>2310</v>
      </c>
      <c r="E106" s="54" t="s">
        <v>2150</v>
      </c>
      <c r="F106" s="54" t="s">
        <v>2575</v>
      </c>
      <c r="G106" s="54" t="s">
        <v>2575</v>
      </c>
      <c r="H106" s="53" t="s">
        <v>2575</v>
      </c>
      <c r="I106" s="53" t="s">
        <v>2575</v>
      </c>
      <c r="J106" s="53" t="s">
        <v>1374</v>
      </c>
      <c r="K106" s="53" t="s">
        <v>1195</v>
      </c>
      <c r="L106" s="266" t="s">
        <v>2157</v>
      </c>
    </row>
    <row r="107" spans="2:12" ht="24" x14ac:dyDescent="0.3">
      <c r="B107" s="262">
        <v>103</v>
      </c>
      <c r="C107" s="59" t="s">
        <v>2311</v>
      </c>
      <c r="D107" s="53" t="s">
        <v>2149</v>
      </c>
      <c r="E107" s="54" t="s">
        <v>2150</v>
      </c>
      <c r="F107" s="54" t="s">
        <v>2575</v>
      </c>
      <c r="G107" s="54" t="s">
        <v>2575</v>
      </c>
      <c r="H107" s="53" t="s">
        <v>2575</v>
      </c>
      <c r="I107" s="53" t="s">
        <v>2575</v>
      </c>
      <c r="J107" s="53" t="s">
        <v>2305</v>
      </c>
      <c r="K107" s="53" t="s">
        <v>1361</v>
      </c>
      <c r="L107" s="266" t="s">
        <v>2218</v>
      </c>
    </row>
    <row r="108" spans="2:12" ht="24" x14ac:dyDescent="0.3">
      <c r="B108" s="262">
        <v>104</v>
      </c>
      <c r="C108" s="59" t="s">
        <v>2312</v>
      </c>
      <c r="D108" s="53" t="s">
        <v>2166</v>
      </c>
      <c r="E108" s="54" t="s">
        <v>2150</v>
      </c>
      <c r="F108" s="54" t="s">
        <v>2575</v>
      </c>
      <c r="G108" s="54" t="s">
        <v>2575</v>
      </c>
      <c r="H108" s="53" t="s">
        <v>2575</v>
      </c>
      <c r="I108" s="53" t="s">
        <v>2575</v>
      </c>
      <c r="J108" s="53" t="s">
        <v>1380</v>
      </c>
      <c r="K108" s="53" t="s">
        <v>738</v>
      </c>
      <c r="L108" s="266" t="s">
        <v>2313</v>
      </c>
    </row>
    <row r="109" spans="2:12" ht="24" x14ac:dyDescent="0.3">
      <c r="B109" s="262">
        <v>105</v>
      </c>
      <c r="C109" s="59" t="s">
        <v>2314</v>
      </c>
      <c r="D109" s="53" t="s">
        <v>2168</v>
      </c>
      <c r="E109" s="54" t="s">
        <v>2150</v>
      </c>
      <c r="F109" s="54" t="s">
        <v>2575</v>
      </c>
      <c r="G109" s="54" t="s">
        <v>2575</v>
      </c>
      <c r="H109" s="53" t="s">
        <v>2575</v>
      </c>
      <c r="I109" s="53" t="s">
        <v>2575</v>
      </c>
      <c r="J109" s="53" t="s">
        <v>979</v>
      </c>
      <c r="K109" s="53" t="s">
        <v>1361</v>
      </c>
      <c r="L109" s="266" t="s">
        <v>2588</v>
      </c>
    </row>
    <row r="110" spans="2:12" ht="24" x14ac:dyDescent="0.3">
      <c r="B110" s="262">
        <v>106</v>
      </c>
      <c r="C110" s="59" t="s">
        <v>2315</v>
      </c>
      <c r="D110" s="53" t="s">
        <v>2170</v>
      </c>
      <c r="E110" s="54" t="s">
        <v>2150</v>
      </c>
      <c r="F110" s="54" t="s">
        <v>2575</v>
      </c>
      <c r="G110" s="54" t="s">
        <v>2575</v>
      </c>
      <c r="H110" s="53" t="s">
        <v>2575</v>
      </c>
      <c r="I110" s="53" t="s">
        <v>2575</v>
      </c>
      <c r="J110" s="53" t="s">
        <v>988</v>
      </c>
      <c r="K110" s="53" t="s">
        <v>2160</v>
      </c>
      <c r="L110" s="266" t="s">
        <v>2218</v>
      </c>
    </row>
    <row r="111" spans="2:12" ht="24" x14ac:dyDescent="0.3">
      <c r="B111" s="262">
        <v>107</v>
      </c>
      <c r="C111" s="59" t="s">
        <v>2316</v>
      </c>
      <c r="D111" s="53" t="s">
        <v>2172</v>
      </c>
      <c r="E111" s="54" t="s">
        <v>2150</v>
      </c>
      <c r="F111" s="54" t="s">
        <v>2575</v>
      </c>
      <c r="G111" s="54" t="s">
        <v>2575</v>
      </c>
      <c r="H111" s="53" t="s">
        <v>2575</v>
      </c>
      <c r="I111" s="53" t="s">
        <v>2575</v>
      </c>
      <c r="J111" s="53" t="s">
        <v>2305</v>
      </c>
      <c r="K111" s="53" t="s">
        <v>1361</v>
      </c>
      <c r="L111" s="266" t="s">
        <v>2584</v>
      </c>
    </row>
    <row r="112" spans="2:12" ht="24" x14ac:dyDescent="0.3">
      <c r="B112" s="262">
        <v>108</v>
      </c>
      <c r="C112" s="59" t="s">
        <v>2317</v>
      </c>
      <c r="D112" s="53" t="s">
        <v>2175</v>
      </c>
      <c r="E112" s="54" t="s">
        <v>2150</v>
      </c>
      <c r="F112" s="54" t="s">
        <v>2575</v>
      </c>
      <c r="G112" s="54" t="s">
        <v>2575</v>
      </c>
      <c r="H112" s="53" t="s">
        <v>2575</v>
      </c>
      <c r="I112" s="53" t="s">
        <v>2575</v>
      </c>
      <c r="J112" s="53" t="s">
        <v>988</v>
      </c>
      <c r="K112" s="53" t="s">
        <v>2176</v>
      </c>
      <c r="L112" s="266" t="s">
        <v>2318</v>
      </c>
    </row>
    <row r="113" spans="2:12" ht="24" x14ac:dyDescent="0.3">
      <c r="B113" s="262">
        <v>109</v>
      </c>
      <c r="C113" s="59" t="s">
        <v>2319</v>
      </c>
      <c r="D113" s="53" t="s">
        <v>2179</v>
      </c>
      <c r="E113" s="54" t="s">
        <v>2180</v>
      </c>
      <c r="F113" s="54" t="s">
        <v>2575</v>
      </c>
      <c r="G113" s="54" t="s">
        <v>2575</v>
      </c>
      <c r="H113" s="53" t="s">
        <v>2575</v>
      </c>
      <c r="I113" s="53" t="s">
        <v>2575</v>
      </c>
      <c r="J113" s="53" t="s">
        <v>979</v>
      </c>
      <c r="K113" s="53" t="s">
        <v>2181</v>
      </c>
      <c r="L113" s="266" t="s">
        <v>2318</v>
      </c>
    </row>
    <row r="114" spans="2:12" ht="24" x14ac:dyDescent="0.3">
      <c r="B114" s="262">
        <v>110</v>
      </c>
      <c r="C114" s="59" t="s">
        <v>2320</v>
      </c>
      <c r="D114" s="53" t="s">
        <v>2321</v>
      </c>
      <c r="E114" s="54" t="s">
        <v>2180</v>
      </c>
      <c r="F114" s="54" t="s">
        <v>2575</v>
      </c>
      <c r="G114" s="54" t="s">
        <v>2575</v>
      </c>
      <c r="H114" s="53" t="s">
        <v>2575</v>
      </c>
      <c r="I114" s="53" t="s">
        <v>2575</v>
      </c>
      <c r="J114" s="53" t="s">
        <v>988</v>
      </c>
      <c r="K114" s="53" t="s">
        <v>2322</v>
      </c>
      <c r="L114" s="266" t="s">
        <v>2306</v>
      </c>
    </row>
    <row r="115" spans="2:12" ht="24" x14ac:dyDescent="0.3">
      <c r="B115" s="262">
        <v>111</v>
      </c>
      <c r="C115" s="59" t="s">
        <v>2323</v>
      </c>
      <c r="D115" s="53" t="s">
        <v>2324</v>
      </c>
      <c r="E115" s="54" t="s">
        <v>2243</v>
      </c>
      <c r="F115" s="54" t="s">
        <v>2575</v>
      </c>
      <c r="G115" s="54" t="s">
        <v>2575</v>
      </c>
      <c r="H115" s="53" t="s">
        <v>2575</v>
      </c>
      <c r="I115" s="53" t="s">
        <v>2575</v>
      </c>
      <c r="J115" s="53" t="s">
        <v>2244</v>
      </c>
      <c r="K115" s="53" t="s">
        <v>2325</v>
      </c>
      <c r="L115" s="266" t="s">
        <v>2218</v>
      </c>
    </row>
    <row r="116" spans="2:12" ht="24" x14ac:dyDescent="0.3">
      <c r="B116" s="262">
        <v>112</v>
      </c>
      <c r="C116" s="59" t="s">
        <v>2326</v>
      </c>
      <c r="D116" s="53" t="s">
        <v>2183</v>
      </c>
      <c r="E116" s="54" t="s">
        <v>2180</v>
      </c>
      <c r="F116" s="54" t="s">
        <v>2575</v>
      </c>
      <c r="G116" s="54" t="s">
        <v>2575</v>
      </c>
      <c r="H116" s="53" t="s">
        <v>2575</v>
      </c>
      <c r="I116" s="53" t="s">
        <v>2575</v>
      </c>
      <c r="J116" s="53" t="s">
        <v>979</v>
      </c>
      <c r="K116" s="53" t="s">
        <v>2181</v>
      </c>
      <c r="L116" s="266" t="s">
        <v>2327</v>
      </c>
    </row>
    <row r="117" spans="2:12" ht="24" x14ac:dyDescent="0.3">
      <c r="B117" s="262">
        <v>113</v>
      </c>
      <c r="C117" s="59" t="s">
        <v>2328</v>
      </c>
      <c r="D117" s="53" t="s">
        <v>2186</v>
      </c>
      <c r="E117" s="54" t="s">
        <v>2180</v>
      </c>
      <c r="F117" s="54" t="s">
        <v>2575</v>
      </c>
      <c r="G117" s="54" t="s">
        <v>2575</v>
      </c>
      <c r="H117" s="53" t="s">
        <v>2575</v>
      </c>
      <c r="I117" s="53" t="s">
        <v>2575</v>
      </c>
      <c r="J117" s="53" t="s">
        <v>988</v>
      </c>
      <c r="K117" s="53" t="s">
        <v>2187</v>
      </c>
      <c r="L117" s="266" t="s">
        <v>2313</v>
      </c>
    </row>
    <row r="118" spans="2:12" ht="24" x14ac:dyDescent="0.3">
      <c r="B118" s="262">
        <v>114</v>
      </c>
      <c r="C118" s="59" t="s">
        <v>2329</v>
      </c>
      <c r="D118" s="53" t="s">
        <v>2189</v>
      </c>
      <c r="E118" s="54" t="s">
        <v>2330</v>
      </c>
      <c r="F118" s="54" t="s">
        <v>2575</v>
      </c>
      <c r="G118" s="54" t="s">
        <v>2575</v>
      </c>
      <c r="H118" s="53" t="s">
        <v>2575</v>
      </c>
      <c r="I118" s="53" t="s">
        <v>2575</v>
      </c>
      <c r="J118" s="53" t="s">
        <v>979</v>
      </c>
      <c r="K118" s="53" t="s">
        <v>2181</v>
      </c>
      <c r="L118" s="266" t="s">
        <v>2306</v>
      </c>
    </row>
    <row r="119" spans="2:12" ht="24" x14ac:dyDescent="0.3">
      <c r="B119" s="262">
        <v>115</v>
      </c>
      <c r="C119" s="59" t="s">
        <v>2331</v>
      </c>
      <c r="D119" s="53" t="s">
        <v>2332</v>
      </c>
      <c r="E119" s="54" t="s">
        <v>2330</v>
      </c>
      <c r="F119" s="54" t="s">
        <v>2575</v>
      </c>
      <c r="G119" s="54" t="s">
        <v>2575</v>
      </c>
      <c r="H119" s="53" t="s">
        <v>2575</v>
      </c>
      <c r="I119" s="53" t="s">
        <v>2575</v>
      </c>
      <c r="J119" s="53" t="s">
        <v>988</v>
      </c>
      <c r="K119" s="53" t="s">
        <v>2187</v>
      </c>
      <c r="L119" s="266" t="s">
        <v>2589</v>
      </c>
    </row>
    <row r="120" spans="2:12" ht="24" x14ac:dyDescent="0.3">
      <c r="B120" s="262">
        <v>116</v>
      </c>
      <c r="C120" s="59" t="s">
        <v>2333</v>
      </c>
      <c r="D120" s="53" t="s">
        <v>2334</v>
      </c>
      <c r="E120" s="54" t="s">
        <v>2335</v>
      </c>
      <c r="F120" s="54" t="s">
        <v>2575</v>
      </c>
      <c r="G120" s="54" t="s">
        <v>2575</v>
      </c>
      <c r="H120" s="53" t="s">
        <v>2575</v>
      </c>
      <c r="I120" s="53" t="s">
        <v>2575</v>
      </c>
      <c r="J120" s="53" t="s">
        <v>979</v>
      </c>
      <c r="K120" s="53" t="s">
        <v>2181</v>
      </c>
      <c r="L120" s="266" t="s">
        <v>2327</v>
      </c>
    </row>
    <row r="121" spans="2:12" ht="24" x14ac:dyDescent="0.3">
      <c r="B121" s="262">
        <v>117</v>
      </c>
      <c r="C121" s="59" t="s">
        <v>2336</v>
      </c>
      <c r="D121" s="53" t="s">
        <v>2337</v>
      </c>
      <c r="E121" s="54" t="s">
        <v>2199</v>
      </c>
      <c r="F121" s="54" t="s">
        <v>2575</v>
      </c>
      <c r="G121" s="54" t="s">
        <v>2575</v>
      </c>
      <c r="H121" s="53" t="s">
        <v>2575</v>
      </c>
      <c r="I121" s="53" t="s">
        <v>2575</v>
      </c>
      <c r="J121" s="53" t="s">
        <v>1490</v>
      </c>
      <c r="K121" s="53" t="s">
        <v>2590</v>
      </c>
      <c r="L121" s="266" t="s">
        <v>2591</v>
      </c>
    </row>
    <row r="122" spans="2:12" ht="24" x14ac:dyDescent="0.3">
      <c r="B122" s="262">
        <v>118</v>
      </c>
      <c r="C122" s="59" t="s">
        <v>2339</v>
      </c>
      <c r="D122" s="53" t="s">
        <v>2340</v>
      </c>
      <c r="E122" s="54" t="s">
        <v>2192</v>
      </c>
      <c r="F122" s="54" t="s">
        <v>2575</v>
      </c>
      <c r="G122" s="54" t="s">
        <v>2575</v>
      </c>
      <c r="H122" s="53" t="s">
        <v>2575</v>
      </c>
      <c r="I122" s="53" t="s">
        <v>2575</v>
      </c>
      <c r="J122" s="53" t="s">
        <v>988</v>
      </c>
      <c r="K122" s="53" t="s">
        <v>2187</v>
      </c>
      <c r="L122" s="266" t="s">
        <v>2164</v>
      </c>
    </row>
    <row r="123" spans="2:12" ht="24" x14ac:dyDescent="0.3">
      <c r="B123" s="262">
        <v>119</v>
      </c>
      <c r="C123" s="59" t="s">
        <v>2341</v>
      </c>
      <c r="D123" s="53" t="s">
        <v>2342</v>
      </c>
      <c r="E123" s="54" t="s">
        <v>2192</v>
      </c>
      <c r="F123" s="54" t="s">
        <v>2575</v>
      </c>
      <c r="G123" s="54" t="s">
        <v>2575</v>
      </c>
      <c r="H123" s="53" t="s">
        <v>2575</v>
      </c>
      <c r="I123" s="53" t="s">
        <v>2575</v>
      </c>
      <c r="J123" s="53" t="s">
        <v>979</v>
      </c>
      <c r="K123" s="53" t="s">
        <v>1361</v>
      </c>
      <c r="L123" s="266" t="s">
        <v>2164</v>
      </c>
    </row>
    <row r="124" spans="2:12" ht="24" x14ac:dyDescent="0.3">
      <c r="B124" s="262">
        <v>120</v>
      </c>
      <c r="C124" s="59" t="s">
        <v>2343</v>
      </c>
      <c r="D124" s="53" t="s">
        <v>1240</v>
      </c>
      <c r="E124" s="54" t="s">
        <v>2133</v>
      </c>
      <c r="F124" s="54" t="s">
        <v>2575</v>
      </c>
      <c r="G124" s="54" t="s">
        <v>2575</v>
      </c>
      <c r="H124" s="53" t="s">
        <v>2575</v>
      </c>
      <c r="I124" s="53" t="s">
        <v>2575</v>
      </c>
      <c r="J124" s="53" t="s">
        <v>1397</v>
      </c>
      <c r="K124" s="53" t="s">
        <v>1246</v>
      </c>
      <c r="L124" s="266" t="s">
        <v>2136</v>
      </c>
    </row>
    <row r="125" spans="2:12" ht="24" x14ac:dyDescent="0.3">
      <c r="B125" s="262">
        <v>121</v>
      </c>
      <c r="C125" s="59" t="s">
        <v>2344</v>
      </c>
      <c r="D125" s="53" t="s">
        <v>2304</v>
      </c>
      <c r="E125" s="54" t="s">
        <v>1396</v>
      </c>
      <c r="F125" s="54" t="s">
        <v>2575</v>
      </c>
      <c r="G125" s="54" t="s">
        <v>2575</v>
      </c>
      <c r="H125" s="53" t="s">
        <v>2575</v>
      </c>
      <c r="I125" s="53" t="s">
        <v>2575</v>
      </c>
      <c r="J125" s="53" t="s">
        <v>2305</v>
      </c>
      <c r="K125" s="53" t="s">
        <v>1275</v>
      </c>
      <c r="L125" s="266" t="s">
        <v>2592</v>
      </c>
    </row>
    <row r="126" spans="2:12" ht="24" x14ac:dyDescent="0.3">
      <c r="B126" s="262">
        <v>122</v>
      </c>
      <c r="C126" s="59" t="s">
        <v>2345</v>
      </c>
      <c r="D126" s="53" t="s">
        <v>2153</v>
      </c>
      <c r="E126" s="54" t="s">
        <v>2154</v>
      </c>
      <c r="F126" s="54" t="s">
        <v>2575</v>
      </c>
      <c r="G126" s="54" t="s">
        <v>2575</v>
      </c>
      <c r="H126" s="53" t="s">
        <v>2575</v>
      </c>
      <c r="I126" s="53" t="s">
        <v>2575</v>
      </c>
      <c r="J126" s="53" t="s">
        <v>979</v>
      </c>
      <c r="K126" s="53" t="s">
        <v>1361</v>
      </c>
      <c r="L126" s="266" t="s">
        <v>2592</v>
      </c>
    </row>
    <row r="127" spans="2:12" ht="24" x14ac:dyDescent="0.3">
      <c r="B127" s="262">
        <v>123</v>
      </c>
      <c r="C127" s="59" t="s">
        <v>2346</v>
      </c>
      <c r="D127" s="53" t="s">
        <v>2163</v>
      </c>
      <c r="E127" s="54" t="s">
        <v>2154</v>
      </c>
      <c r="F127" s="54" t="s">
        <v>2575</v>
      </c>
      <c r="G127" s="54" t="s">
        <v>2575</v>
      </c>
      <c r="H127" s="53" t="s">
        <v>2575</v>
      </c>
      <c r="I127" s="53" t="s">
        <v>2575</v>
      </c>
      <c r="J127" s="53" t="s">
        <v>1380</v>
      </c>
      <c r="K127" s="53" t="s">
        <v>738</v>
      </c>
      <c r="L127" s="266" t="s">
        <v>2592</v>
      </c>
    </row>
    <row r="128" spans="2:12" ht="24" x14ac:dyDescent="0.3">
      <c r="B128" s="262">
        <v>124</v>
      </c>
      <c r="C128" s="59" t="s">
        <v>2347</v>
      </c>
      <c r="D128" s="53" t="s">
        <v>2348</v>
      </c>
      <c r="E128" s="54" t="s">
        <v>2150</v>
      </c>
      <c r="F128" s="54" t="s">
        <v>2575</v>
      </c>
      <c r="G128" s="54" t="s">
        <v>2575</v>
      </c>
      <c r="H128" s="53" t="s">
        <v>2575</v>
      </c>
      <c r="I128" s="53" t="s">
        <v>2575</v>
      </c>
      <c r="J128" s="53" t="s">
        <v>1374</v>
      </c>
      <c r="K128" s="53" t="s">
        <v>1195</v>
      </c>
      <c r="L128" s="266" t="s">
        <v>2592</v>
      </c>
    </row>
    <row r="129" spans="2:12" ht="24" x14ac:dyDescent="0.3">
      <c r="B129" s="262">
        <v>125</v>
      </c>
      <c r="C129" s="59" t="s">
        <v>2349</v>
      </c>
      <c r="D129" s="53" t="s">
        <v>2149</v>
      </c>
      <c r="E129" s="54" t="s">
        <v>2150</v>
      </c>
      <c r="F129" s="54" t="s">
        <v>2575</v>
      </c>
      <c r="G129" s="54" t="s">
        <v>2575</v>
      </c>
      <c r="H129" s="53" t="s">
        <v>2575</v>
      </c>
      <c r="I129" s="53" t="s">
        <v>2575</v>
      </c>
      <c r="J129" s="53" t="s">
        <v>979</v>
      </c>
      <c r="K129" s="53" t="s">
        <v>1361</v>
      </c>
      <c r="L129" s="266" t="s">
        <v>2592</v>
      </c>
    </row>
    <row r="130" spans="2:12" ht="24" x14ac:dyDescent="0.3">
      <c r="B130" s="262">
        <v>126</v>
      </c>
      <c r="C130" s="59" t="s">
        <v>2350</v>
      </c>
      <c r="D130" s="53" t="s">
        <v>2166</v>
      </c>
      <c r="E130" s="54" t="s">
        <v>2150</v>
      </c>
      <c r="F130" s="54" t="s">
        <v>2575</v>
      </c>
      <c r="G130" s="54" t="s">
        <v>2575</v>
      </c>
      <c r="H130" s="53" t="s">
        <v>2575</v>
      </c>
      <c r="I130" s="53" t="s">
        <v>2575</v>
      </c>
      <c r="J130" s="53" t="s">
        <v>1380</v>
      </c>
      <c r="K130" s="53" t="s">
        <v>738</v>
      </c>
      <c r="L130" s="266" t="s">
        <v>2592</v>
      </c>
    </row>
    <row r="131" spans="2:12" ht="24" x14ac:dyDescent="0.3">
      <c r="B131" s="262">
        <v>127</v>
      </c>
      <c r="C131" s="59" t="s">
        <v>2351</v>
      </c>
      <c r="D131" s="53" t="s">
        <v>2168</v>
      </c>
      <c r="E131" s="54" t="s">
        <v>2150</v>
      </c>
      <c r="F131" s="54" t="s">
        <v>2575</v>
      </c>
      <c r="G131" s="54" t="s">
        <v>2575</v>
      </c>
      <c r="H131" s="53" t="s">
        <v>2575</v>
      </c>
      <c r="I131" s="53" t="s">
        <v>2575</v>
      </c>
      <c r="J131" s="53" t="s">
        <v>979</v>
      </c>
      <c r="K131" s="53" t="s">
        <v>1361</v>
      </c>
      <c r="L131" s="266" t="s">
        <v>2592</v>
      </c>
    </row>
    <row r="132" spans="2:12" ht="24" x14ac:dyDescent="0.3">
      <c r="B132" s="262">
        <v>128</v>
      </c>
      <c r="C132" s="59" t="s">
        <v>2352</v>
      </c>
      <c r="D132" s="53" t="s">
        <v>2170</v>
      </c>
      <c r="E132" s="54" t="s">
        <v>2150</v>
      </c>
      <c r="F132" s="54" t="s">
        <v>2575</v>
      </c>
      <c r="G132" s="54" t="s">
        <v>2575</v>
      </c>
      <c r="H132" s="53" t="s">
        <v>2575</v>
      </c>
      <c r="I132" s="53" t="s">
        <v>2575</v>
      </c>
      <c r="J132" s="53" t="s">
        <v>988</v>
      </c>
      <c r="K132" s="53" t="s">
        <v>2160</v>
      </c>
      <c r="L132" s="266" t="s">
        <v>2592</v>
      </c>
    </row>
    <row r="133" spans="2:12" ht="24" x14ac:dyDescent="0.3">
      <c r="B133" s="262">
        <v>129</v>
      </c>
      <c r="C133" s="59" t="s">
        <v>2353</v>
      </c>
      <c r="D133" s="53" t="s">
        <v>2172</v>
      </c>
      <c r="E133" s="54" t="s">
        <v>2150</v>
      </c>
      <c r="F133" s="54" t="s">
        <v>2575</v>
      </c>
      <c r="G133" s="54" t="s">
        <v>2575</v>
      </c>
      <c r="H133" s="53" t="s">
        <v>2575</v>
      </c>
      <c r="I133" s="53" t="s">
        <v>2575</v>
      </c>
      <c r="J133" s="53" t="s">
        <v>2305</v>
      </c>
      <c r="K133" s="53" t="s">
        <v>1361</v>
      </c>
      <c r="L133" s="266" t="s">
        <v>2592</v>
      </c>
    </row>
    <row r="134" spans="2:12" ht="24" x14ac:dyDescent="0.3">
      <c r="B134" s="262">
        <v>130</v>
      </c>
      <c r="C134" s="59" t="s">
        <v>2354</v>
      </c>
      <c r="D134" s="53" t="s">
        <v>2175</v>
      </c>
      <c r="E134" s="54" t="s">
        <v>2150</v>
      </c>
      <c r="F134" s="54" t="s">
        <v>2575</v>
      </c>
      <c r="G134" s="54" t="s">
        <v>2575</v>
      </c>
      <c r="H134" s="53" t="s">
        <v>2575</v>
      </c>
      <c r="I134" s="53" t="s">
        <v>2575</v>
      </c>
      <c r="J134" s="53" t="s">
        <v>2305</v>
      </c>
      <c r="K134" s="53" t="s">
        <v>1361</v>
      </c>
      <c r="L134" s="266" t="s">
        <v>2592</v>
      </c>
    </row>
    <row r="135" spans="2:12" ht="24" x14ac:dyDescent="0.3">
      <c r="B135" s="262">
        <v>131</v>
      </c>
      <c r="C135" s="59" t="s">
        <v>2355</v>
      </c>
      <c r="D135" s="53" t="s">
        <v>2179</v>
      </c>
      <c r="E135" s="54" t="s">
        <v>2180</v>
      </c>
      <c r="F135" s="54" t="s">
        <v>2575</v>
      </c>
      <c r="G135" s="54" t="s">
        <v>2575</v>
      </c>
      <c r="H135" s="53" t="s">
        <v>2575</v>
      </c>
      <c r="I135" s="53" t="s">
        <v>2575</v>
      </c>
      <c r="J135" s="53" t="s">
        <v>979</v>
      </c>
      <c r="K135" s="53" t="s">
        <v>2181</v>
      </c>
      <c r="L135" s="266" t="s">
        <v>2592</v>
      </c>
    </row>
    <row r="136" spans="2:12" ht="24" x14ac:dyDescent="0.3">
      <c r="B136" s="262">
        <v>132</v>
      </c>
      <c r="C136" s="59" t="s">
        <v>2356</v>
      </c>
      <c r="D136" s="53" t="s">
        <v>2321</v>
      </c>
      <c r="E136" s="54" t="s">
        <v>2180</v>
      </c>
      <c r="F136" s="54" t="s">
        <v>2575</v>
      </c>
      <c r="G136" s="54" t="s">
        <v>2575</v>
      </c>
      <c r="H136" s="53" t="s">
        <v>2575</v>
      </c>
      <c r="I136" s="53" t="s">
        <v>2575</v>
      </c>
      <c r="J136" s="53" t="s">
        <v>988</v>
      </c>
      <c r="K136" s="53" t="s">
        <v>2187</v>
      </c>
      <c r="L136" s="266" t="s">
        <v>2592</v>
      </c>
    </row>
    <row r="137" spans="2:12" ht="24" x14ac:dyDescent="0.3">
      <c r="B137" s="262">
        <v>133</v>
      </c>
      <c r="C137" s="59" t="s">
        <v>2357</v>
      </c>
      <c r="D137" s="53" t="s">
        <v>2358</v>
      </c>
      <c r="E137" s="54" t="s">
        <v>2359</v>
      </c>
      <c r="F137" s="54" t="s">
        <v>2575</v>
      </c>
      <c r="G137" s="54" t="s">
        <v>2575</v>
      </c>
      <c r="H137" s="53" t="s">
        <v>2575</v>
      </c>
      <c r="I137" s="53" t="s">
        <v>2575</v>
      </c>
      <c r="J137" s="53" t="s">
        <v>1949</v>
      </c>
      <c r="K137" s="53" t="s">
        <v>682</v>
      </c>
      <c r="L137" s="266" t="s">
        <v>2134</v>
      </c>
    </row>
    <row r="138" spans="2:12" ht="24" x14ac:dyDescent="0.3">
      <c r="B138" s="262">
        <v>134</v>
      </c>
      <c r="C138" s="275" t="s">
        <v>2360</v>
      </c>
      <c r="D138" s="276" t="s">
        <v>2212</v>
      </c>
      <c r="E138" s="277" t="s">
        <v>1396</v>
      </c>
      <c r="F138" s="277" t="s">
        <v>2575</v>
      </c>
      <c r="G138" s="277" t="s">
        <v>2575</v>
      </c>
      <c r="H138" s="276" t="s">
        <v>2575</v>
      </c>
      <c r="I138" s="276" t="s">
        <v>2575</v>
      </c>
      <c r="J138" s="276" t="s">
        <v>2213</v>
      </c>
      <c r="K138" s="276" t="s">
        <v>1293</v>
      </c>
      <c r="L138" s="280" t="s">
        <v>2306</v>
      </c>
    </row>
    <row r="139" spans="2:12" ht="24.75" thickBot="1" x14ac:dyDescent="0.35">
      <c r="B139" s="270">
        <v>135</v>
      </c>
      <c r="C139" s="271" t="s">
        <v>2361</v>
      </c>
      <c r="D139" s="272" t="s">
        <v>2362</v>
      </c>
      <c r="E139" s="273" t="s">
        <v>1396</v>
      </c>
      <c r="F139" s="273" t="s">
        <v>2575</v>
      </c>
      <c r="G139" s="273" t="s">
        <v>2575</v>
      </c>
      <c r="H139" s="272" t="s">
        <v>2575</v>
      </c>
      <c r="I139" s="272" t="s">
        <v>2575</v>
      </c>
      <c r="J139" s="272" t="s">
        <v>2213</v>
      </c>
      <c r="K139" s="272" t="s">
        <v>1293</v>
      </c>
      <c r="L139" s="274" t="s">
        <v>2592</v>
      </c>
    </row>
    <row r="140" spans="2:12" ht="12" x14ac:dyDescent="0.3"/>
    <row r="141" spans="2:12" ht="12" x14ac:dyDescent="0.3"/>
    <row r="142" spans="2:12" ht="12" x14ac:dyDescent="0.3"/>
    <row r="143" spans="2:12" ht="12" x14ac:dyDescent="0.3"/>
    <row r="144" spans="2:12" ht="12" x14ac:dyDescent="0.3"/>
    <row r="145" ht="12" x14ac:dyDescent="0.3"/>
    <row r="146" ht="12" x14ac:dyDescent="0.3"/>
    <row r="147" ht="12" x14ac:dyDescent="0.3"/>
    <row r="148" ht="12" x14ac:dyDescent="0.3"/>
    <row r="149" ht="12" x14ac:dyDescent="0.3"/>
    <row r="150" ht="12" x14ac:dyDescent="0.3"/>
    <row r="151" ht="12" x14ac:dyDescent="0.3"/>
    <row r="152" ht="12" x14ac:dyDescent="0.3"/>
    <row r="153" ht="12" x14ac:dyDescent="0.3"/>
    <row r="154" ht="12" x14ac:dyDescent="0.3"/>
    <row r="155" ht="12" x14ac:dyDescent="0.3"/>
    <row r="156" ht="12" x14ac:dyDescent="0.3"/>
    <row r="157" ht="12" x14ac:dyDescent="0.3"/>
    <row r="158" ht="12" x14ac:dyDescent="0.3"/>
    <row r="159" ht="12" x14ac:dyDescent="0.3"/>
    <row r="160" ht="12" x14ac:dyDescent="0.3"/>
    <row r="161" ht="12" x14ac:dyDescent="0.3"/>
    <row r="162" ht="12" x14ac:dyDescent="0.3"/>
    <row r="163" ht="12" x14ac:dyDescent="0.3"/>
    <row r="164" ht="12" x14ac:dyDescent="0.3"/>
    <row r="165" ht="12" x14ac:dyDescent="0.3"/>
    <row r="166" ht="12" x14ac:dyDescent="0.3"/>
    <row r="167" ht="12" x14ac:dyDescent="0.3"/>
    <row r="168" ht="12" x14ac:dyDescent="0.3"/>
    <row r="169" ht="12" x14ac:dyDescent="0.3"/>
    <row r="170" ht="12" x14ac:dyDescent="0.3"/>
    <row r="171" ht="12" x14ac:dyDescent="0.3"/>
    <row r="172" ht="12" x14ac:dyDescent="0.3"/>
    <row r="173" ht="12" x14ac:dyDescent="0.3"/>
    <row r="174" ht="12" x14ac:dyDescent="0.3"/>
    <row r="175" ht="12" x14ac:dyDescent="0.3"/>
    <row r="176" ht="12" x14ac:dyDescent="0.3"/>
    <row r="177" ht="12" x14ac:dyDescent="0.3"/>
    <row r="178" ht="12" x14ac:dyDescent="0.3"/>
    <row r="179" ht="12" x14ac:dyDescent="0.3"/>
    <row r="180" ht="12" x14ac:dyDescent="0.3"/>
    <row r="181" ht="12" x14ac:dyDescent="0.3"/>
    <row r="182" ht="12" x14ac:dyDescent="0.3"/>
    <row r="183" ht="12" x14ac:dyDescent="0.3"/>
    <row r="184" ht="12" x14ac:dyDescent="0.3"/>
    <row r="185" ht="12" x14ac:dyDescent="0.3"/>
    <row r="186" ht="12" x14ac:dyDescent="0.3"/>
    <row r="187" ht="12" x14ac:dyDescent="0.3"/>
    <row r="188" ht="12" x14ac:dyDescent="0.3"/>
    <row r="189" ht="12" x14ac:dyDescent="0.3"/>
    <row r="190" ht="12" x14ac:dyDescent="0.3"/>
    <row r="191" ht="12" x14ac:dyDescent="0.3"/>
    <row r="192" ht="12" x14ac:dyDescent="0.3"/>
    <row r="193" ht="12" x14ac:dyDescent="0.3"/>
    <row r="194" ht="12" x14ac:dyDescent="0.3"/>
    <row r="195" ht="12" x14ac:dyDescent="0.3"/>
    <row r="196" ht="12" x14ac:dyDescent="0.3"/>
    <row r="197" ht="12" x14ac:dyDescent="0.3"/>
    <row r="198" ht="12" x14ac:dyDescent="0.3"/>
    <row r="199" ht="12" x14ac:dyDescent="0.3"/>
    <row r="200" ht="12" x14ac:dyDescent="0.3"/>
    <row r="201" ht="12" x14ac:dyDescent="0.3"/>
    <row r="202" ht="12" x14ac:dyDescent="0.3"/>
    <row r="203" ht="12" x14ac:dyDescent="0.3"/>
    <row r="204" ht="12" x14ac:dyDescent="0.3"/>
    <row r="205" ht="12" x14ac:dyDescent="0.3"/>
    <row r="206" ht="12" x14ac:dyDescent="0.3"/>
    <row r="207" ht="12" x14ac:dyDescent="0.3"/>
    <row r="208" ht="12" x14ac:dyDescent="0.3"/>
    <row r="209" ht="12" x14ac:dyDescent="0.3"/>
    <row r="210" ht="12" x14ac:dyDescent="0.3"/>
    <row r="211" ht="12" x14ac:dyDescent="0.3"/>
    <row r="212" ht="12" x14ac:dyDescent="0.3"/>
    <row r="213" ht="12" x14ac:dyDescent="0.3"/>
    <row r="214" ht="12" x14ac:dyDescent="0.3"/>
    <row r="215" ht="12" x14ac:dyDescent="0.3"/>
    <row r="216" ht="12" x14ac:dyDescent="0.3"/>
    <row r="217" ht="12" x14ac:dyDescent="0.3"/>
    <row r="218" ht="12" x14ac:dyDescent="0.3"/>
    <row r="219" ht="12" x14ac:dyDescent="0.3"/>
    <row r="220" ht="12" x14ac:dyDescent="0.3"/>
    <row r="221" ht="12" x14ac:dyDescent="0.3"/>
    <row r="222" ht="12" x14ac:dyDescent="0.3"/>
    <row r="223" ht="12" x14ac:dyDescent="0.3"/>
    <row r="224" ht="12" x14ac:dyDescent="0.3"/>
    <row r="225" ht="12" x14ac:dyDescent="0.3"/>
    <row r="226" ht="12" x14ac:dyDescent="0.3"/>
    <row r="227" ht="12" x14ac:dyDescent="0.3"/>
    <row r="228" ht="12" x14ac:dyDescent="0.3"/>
    <row r="229" ht="12" x14ac:dyDescent="0.3"/>
    <row r="230" ht="12" x14ac:dyDescent="0.3"/>
    <row r="231" ht="12" x14ac:dyDescent="0.3"/>
    <row r="232" ht="12" x14ac:dyDescent="0.3"/>
    <row r="233" ht="12" x14ac:dyDescent="0.3"/>
    <row r="234" ht="12" x14ac:dyDescent="0.3"/>
    <row r="235" ht="12" x14ac:dyDescent="0.3"/>
    <row r="236" ht="12" x14ac:dyDescent="0.3"/>
    <row r="237" ht="12" x14ac:dyDescent="0.3"/>
    <row r="238" ht="12" x14ac:dyDescent="0.3"/>
    <row r="239" ht="12" x14ac:dyDescent="0.3"/>
    <row r="240" ht="12" x14ac:dyDescent="0.3"/>
    <row r="241" ht="12" x14ac:dyDescent="0.3"/>
    <row r="242" ht="12" x14ac:dyDescent="0.3"/>
    <row r="243" ht="12" x14ac:dyDescent="0.3"/>
    <row r="244" ht="12" x14ac:dyDescent="0.3"/>
    <row r="245" ht="12" x14ac:dyDescent="0.3"/>
    <row r="246" ht="12" x14ac:dyDescent="0.3"/>
    <row r="247" ht="12" x14ac:dyDescent="0.3"/>
    <row r="248" ht="12" x14ac:dyDescent="0.3"/>
    <row r="249" ht="12" x14ac:dyDescent="0.3"/>
    <row r="250" ht="12" x14ac:dyDescent="0.3"/>
    <row r="251" ht="12" x14ac:dyDescent="0.3"/>
    <row r="252" ht="12" x14ac:dyDescent="0.3"/>
    <row r="253" ht="12" x14ac:dyDescent="0.3"/>
    <row r="254" ht="12" x14ac:dyDescent="0.3"/>
    <row r="255" ht="12" x14ac:dyDescent="0.3"/>
    <row r="256" ht="12" x14ac:dyDescent="0.3"/>
    <row r="257" ht="12" x14ac:dyDescent="0.3"/>
    <row r="258" ht="12" x14ac:dyDescent="0.3"/>
    <row r="259" ht="12" x14ac:dyDescent="0.3"/>
    <row r="260" ht="12" x14ac:dyDescent="0.3"/>
  </sheetData>
  <autoFilter ref="B4:L139">
    <sortState ref="B5:L122">
      <sortCondition ref="B4:B122"/>
    </sortState>
  </autoFilter>
  <mergeCells count="1">
    <mergeCell ref="B2:L2"/>
  </mergeCells>
  <phoneticPr fontId="2" type="noConversion"/>
  <pageMargins left="0.7" right="0.7" top="0.75" bottom="0.75" header="0.3" footer="0.3"/>
  <pageSetup paperSize="9" scale="43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6614440-a98f-433b-94cf-af03ce1ce3c2">
      <Terms xmlns="http://schemas.microsoft.com/office/infopath/2007/PartnerControls"/>
    </lcf76f155ced4ddcb4097134ff3c332f>
    <TaxCatchAll xmlns="f0abd681-2cf5-4a64-a41e-6ece5a9c914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929D720C50F05E4B86B7478FDF1CF945" ma:contentTypeVersion="15" ma:contentTypeDescription="새 문서를 만듭니다." ma:contentTypeScope="" ma:versionID="55f7345e3c2f8d100038bcf0155de135">
  <xsd:schema xmlns:xsd="http://www.w3.org/2001/XMLSchema" xmlns:xs="http://www.w3.org/2001/XMLSchema" xmlns:p="http://schemas.microsoft.com/office/2006/metadata/properties" xmlns:ns2="86614440-a98f-433b-94cf-af03ce1ce3c2" xmlns:ns3="f0abd681-2cf5-4a64-a41e-6ece5a9c9142" targetNamespace="http://schemas.microsoft.com/office/2006/metadata/properties" ma:root="true" ma:fieldsID="aec0b4f3cae27a0bbb4d1f473552e97b" ns2:_="" ns3:_="">
    <xsd:import namespace="86614440-a98f-433b-94cf-af03ce1ce3c2"/>
    <xsd:import namespace="f0abd681-2cf5-4a64-a41e-6ece5a9c91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614440-a98f-433b-94cf-af03ce1ce3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이미지 태그" ma:readOnly="false" ma:fieldId="{5cf76f15-5ced-4ddc-b409-7134ff3c332f}" ma:taxonomyMulti="true" ma:sspId="c0cec628-4c66-4037-bc33-415c84acad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abd681-2cf5-4a64-a41e-6ece5a9c914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5f0f5e40-4816-4a3a-b89d-2791cfe130f5}" ma:internalName="TaxCatchAll" ma:showField="CatchAllData" ma:web="f0abd681-2cf5-4a64-a41e-6ece5a9c91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8B55A5-DDF4-43AB-A31D-C0D87746A796}">
  <ds:schemaRefs>
    <ds:schemaRef ds:uri="http://purl.org/dc/elements/1.1/"/>
    <ds:schemaRef ds:uri="http://purl.org/dc/terms/"/>
    <ds:schemaRef ds:uri="http://schemas.microsoft.com/office/2006/metadata/properties"/>
    <ds:schemaRef ds:uri="http://purl.org/dc/dcmitype/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f0abd681-2cf5-4a64-a41e-6ece5a9c9142"/>
    <ds:schemaRef ds:uri="86614440-a98f-433b-94cf-af03ce1ce3c2"/>
  </ds:schemaRefs>
</ds:datastoreItem>
</file>

<file path=customXml/itemProps2.xml><?xml version="1.0" encoding="utf-8"?>
<ds:datastoreItem xmlns:ds="http://schemas.openxmlformats.org/officeDocument/2006/customXml" ds:itemID="{63BFDB43-175B-426F-B75B-65A3093EDB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614440-a98f-433b-94cf-af03ce1ce3c2"/>
    <ds:schemaRef ds:uri="f0abd681-2cf5-4a64-a41e-6ece5a9c91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8D8727F-2BDF-4FAC-8A39-39BE8B2C053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History</vt:lpstr>
      <vt:lpstr>게임덱스260325</vt:lpstr>
      <vt:lpstr>메타버스테스트랩(통합)AOS</vt:lpstr>
      <vt:lpstr>메타버스테스트랩(통합)iOS</vt:lpstr>
      <vt:lpstr>메타버스테스트랩(판교)AOS</vt:lpstr>
      <vt:lpstr>메타버스테스트랩(판교)iOS</vt:lpstr>
      <vt:lpstr>전체리스트_AOS_260317</vt:lpstr>
      <vt:lpstr>전체리스트_iOS_260317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NHW</dc:creator>
  <cp:keywords/>
  <dc:description/>
  <cp:lastModifiedBy>강정아</cp:lastModifiedBy>
  <cp:revision/>
  <dcterms:created xsi:type="dcterms:W3CDTF">2018-01-08T08:59:47Z</dcterms:created>
  <dcterms:modified xsi:type="dcterms:W3CDTF">2026-08-31T05:39:25Z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0x010100929D720C50F05E4B86B7478FDF1CF945</vt:lpwstr>
  </property>
  <property fmtid="{D5CDD505-2E9C-101B-9397-08002B2CF9AE}" pid="3" name="MediaServiceImageTags">
    <vt:lpwstr/>
  </property>
</Properties>
</file>